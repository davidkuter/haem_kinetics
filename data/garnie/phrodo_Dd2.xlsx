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lg3357_cumc_columbia_edu/Documents/UCT One Drive/Masters PhD/Paper 1/Nature Comm Submission Docs/"/>
    </mc:Choice>
  </mc:AlternateContent>
  <xr:revisionPtr revIDLastSave="1" documentId="8_{1B5CB062-DDAE-484D-B2B6-10ADF8F4D17A}" xr6:coauthVersionLast="47" xr6:coauthVersionMax="47" xr10:uidLastSave="{60C3B49B-DA79-9345-835B-F74016586CF2}"/>
  <bookViews>
    <workbookView xWindow="9900" yWindow="2120" windowWidth="16060" windowHeight="15880" activeTab="2" xr2:uid="{F83FAC65-0521-49A7-9273-AA67D0DA5842}"/>
  </bookViews>
  <sheets>
    <sheet name="T20" sheetId="1" r:id="rId1"/>
    <sheet name="T24" sheetId="2" r:id="rId2"/>
    <sheet name="T32" sheetId="4" r:id="rId3"/>
    <sheet name="T36" sheetId="5" r:id="rId4"/>
    <sheet name="T40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5" i="6"/>
  <c r="G6" i="6"/>
  <c r="G8" i="6"/>
  <c r="G9" i="6"/>
  <c r="G10" i="6"/>
  <c r="G12" i="6"/>
  <c r="G13" i="6"/>
  <c r="G14" i="6"/>
  <c r="G15" i="6"/>
  <c r="G16" i="6"/>
  <c r="G17" i="6"/>
  <c r="G19" i="6"/>
  <c r="G2" i="6"/>
  <c r="E3" i="6"/>
  <c r="E5" i="6"/>
  <c r="E6" i="6"/>
  <c r="E8" i="6"/>
  <c r="E23" i="6" s="1"/>
  <c r="E24" i="6" s="1"/>
  <c r="E9" i="6"/>
  <c r="E10" i="6"/>
  <c r="E12" i="6"/>
  <c r="E13" i="6"/>
  <c r="E14" i="6"/>
  <c r="E15" i="6"/>
  <c r="E16" i="6"/>
  <c r="E17" i="6"/>
  <c r="E19" i="6"/>
  <c r="E2" i="6"/>
  <c r="B34" i="6"/>
  <c r="C24" i="6"/>
  <c r="C23" i="6"/>
  <c r="C22" i="6"/>
  <c r="E22" i="6" l="1"/>
  <c r="E18" i="5"/>
  <c r="E19" i="5"/>
  <c r="E20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B30" i="5"/>
  <c r="C20" i="5" l="1"/>
  <c r="C19" i="5"/>
  <c r="C18" i="5"/>
  <c r="E23" i="4" l="1"/>
  <c r="E24" i="4"/>
  <c r="E2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B40" i="4"/>
  <c r="C25" i="4" l="1"/>
  <c r="C24" i="4"/>
  <c r="C23" i="4"/>
  <c r="G23" i="4" l="1"/>
  <c r="G24" i="4"/>
  <c r="G25" i="4" s="1"/>
  <c r="E21" i="1" l="1"/>
  <c r="E22" i="1"/>
  <c r="E23" i="1" s="1"/>
  <c r="G3" i="1" l="1"/>
  <c r="G4" i="1"/>
  <c r="G5" i="1"/>
  <c r="G6" i="1"/>
  <c r="G10" i="1"/>
  <c r="G11" i="1"/>
  <c r="G12" i="1"/>
  <c r="G13" i="1"/>
  <c r="E3" i="1"/>
  <c r="E4" i="1"/>
  <c r="E5" i="1"/>
  <c r="E6" i="1"/>
  <c r="E7" i="1"/>
  <c r="G7" i="1" s="1"/>
  <c r="E8" i="1"/>
  <c r="G8" i="1" s="1"/>
  <c r="E9" i="1"/>
  <c r="G9" i="1" s="1"/>
  <c r="E10" i="1"/>
  <c r="E11" i="1"/>
  <c r="E12" i="1"/>
  <c r="E13" i="1"/>
  <c r="E14" i="1"/>
  <c r="G14" i="1" s="1"/>
  <c r="E15" i="1"/>
  <c r="G15" i="1" s="1"/>
  <c r="E16" i="1"/>
  <c r="G16" i="1" s="1"/>
  <c r="E17" i="1"/>
  <c r="G17" i="1" s="1"/>
  <c r="E2" i="1"/>
  <c r="G2" i="1" s="1"/>
  <c r="B41" i="1"/>
  <c r="E19" i="2" l="1"/>
  <c r="E20" i="2"/>
  <c r="E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B32" i="2"/>
  <c r="I22" i="6" l="1"/>
  <c r="I23" i="6"/>
  <c r="I24" i="6" s="1"/>
  <c r="I18" i="5"/>
  <c r="I19" i="5"/>
  <c r="I20" i="5" s="1"/>
  <c r="I20" i="2" l="1"/>
  <c r="I21" i="2" s="1"/>
  <c r="I19" i="2"/>
  <c r="I24" i="4" l="1"/>
  <c r="I25" i="4" s="1"/>
  <c r="I23" i="4"/>
  <c r="I22" i="1" l="1"/>
  <c r="I23" i="1" s="1"/>
  <c r="I21" i="1"/>
  <c r="G23" i="6" l="1"/>
  <c r="G24" i="6" s="1"/>
  <c r="G22" i="6"/>
  <c r="G18" i="5" l="1"/>
  <c r="G19" i="5"/>
  <c r="G20" i="5" s="1"/>
  <c r="C20" i="2"/>
  <c r="C21" i="2" s="1"/>
  <c r="C19" i="2"/>
  <c r="G20" i="2" l="1"/>
  <c r="G21" i="2" s="1"/>
  <c r="C22" i="1"/>
  <c r="C23" i="1" s="1"/>
  <c r="C21" i="1"/>
  <c r="G19" i="2" l="1"/>
  <c r="G21" i="1"/>
  <c r="G22" i="1"/>
  <c r="G23" i="1" s="1"/>
</calcChain>
</file>

<file path=xl/sharedStrings.xml><?xml version="1.0" encoding="utf-8"?>
<sst xmlns="http://schemas.openxmlformats.org/spreadsheetml/2006/main" count="197" uniqueCount="68">
  <si>
    <t>Code</t>
  </si>
  <si>
    <t>Number</t>
  </si>
  <si>
    <t>Intensity Total</t>
  </si>
  <si>
    <t>Intensity per Volume</t>
  </si>
  <si>
    <t>Average</t>
  </si>
  <si>
    <t>Std Dev</t>
  </si>
  <si>
    <t>Std Error</t>
  </si>
  <si>
    <t>Intensity Total (mean per micron^2)</t>
  </si>
  <si>
    <t>Concentration (Intensity / Volume)</t>
  </si>
  <si>
    <t>1.2</t>
  </si>
  <si>
    <t>1.4</t>
  </si>
  <si>
    <t>1.5</t>
  </si>
  <si>
    <t>1.9</t>
  </si>
  <si>
    <t>1.11</t>
  </si>
  <si>
    <t>1.12</t>
  </si>
  <si>
    <t>2.3</t>
  </si>
  <si>
    <t>2.4</t>
  </si>
  <si>
    <t>2.5</t>
  </si>
  <si>
    <t>2.6.1</t>
  </si>
  <si>
    <t>1.6</t>
  </si>
  <si>
    <t>2.8</t>
  </si>
  <si>
    <t>2.9</t>
  </si>
  <si>
    <t>2.10</t>
  </si>
  <si>
    <t>2.11</t>
  </si>
  <si>
    <t>2.13</t>
  </si>
  <si>
    <t>Calculated DV Volume</t>
  </si>
  <si>
    <t>Background Intensity</t>
  </si>
  <si>
    <t>Background Corrected Intensity</t>
  </si>
  <si>
    <t>Background parasites</t>
  </si>
  <si>
    <t>IntDEN</t>
  </si>
  <si>
    <t>NF1 1</t>
  </si>
  <si>
    <t>NF1 2</t>
  </si>
  <si>
    <t>NF1 3</t>
  </si>
  <si>
    <t>NF2 1-1</t>
  </si>
  <si>
    <t>NF2 1-2</t>
  </si>
  <si>
    <t>NF2 2</t>
  </si>
  <si>
    <t>NF2 3</t>
  </si>
  <si>
    <t>1.1</t>
  </si>
  <si>
    <t>2.2</t>
  </si>
  <si>
    <t>1.3</t>
  </si>
  <si>
    <t>1.10</t>
  </si>
  <si>
    <t>2.1.1</t>
  </si>
  <si>
    <t>2.1.2</t>
  </si>
  <si>
    <t>2.6</t>
  </si>
  <si>
    <t>2.7</t>
  </si>
  <si>
    <t>2.10.2</t>
  </si>
  <si>
    <t>NF1 1-1</t>
  </si>
  <si>
    <t>NF1 1-2</t>
  </si>
  <si>
    <t>NF1 4-1</t>
  </si>
  <si>
    <t>NF1 4-2</t>
  </si>
  <si>
    <t>NF1 5-1</t>
  </si>
  <si>
    <t>NF1 5-2</t>
  </si>
  <si>
    <t>NF2 1</t>
  </si>
  <si>
    <t>NF2 5</t>
  </si>
  <si>
    <t>NF2 4-2</t>
  </si>
  <si>
    <t>NF2 4-1</t>
  </si>
  <si>
    <t>Excluded</t>
  </si>
  <si>
    <t>1.7</t>
  </si>
  <si>
    <t>1.8</t>
  </si>
  <si>
    <t>2.1</t>
  </si>
  <si>
    <t>2.12</t>
  </si>
  <si>
    <t>1.3.1</t>
  </si>
  <si>
    <t>1.3.2</t>
  </si>
  <si>
    <t>exclude</t>
  </si>
  <si>
    <t>2.2.1</t>
  </si>
  <si>
    <t>2.5.1</t>
  </si>
  <si>
    <t>2.5.2</t>
  </si>
  <si>
    <t>2.5.3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</si>
</sst>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77E8-91F0-4F90-8B02-974EE23831E6}">
  <dimension ref="A1:I41"/>
  <sheetViews>
    <sheetView zoomScale="92" workbookViewId="0">
      <selection activeCell="F33" sqref="F33"/>
    </sheetView>
  </sheetViews>
  <sheetFormatPr baseColWidth="10" defaultColWidth="8.83203125" defaultRowHeight="15" x14ac:dyDescent="0.2"/>
  <cols>
    <col min="1" max="1" width="12" customWidth="1"/>
    <col min="3" max="7" width="13.83203125" customWidth="1"/>
    <col min="9" max="9" width="13.1640625" customWidth="1"/>
  </cols>
  <sheetData>
    <row r="1" spans="1:9" ht="44.25" customHeight="1" x14ac:dyDescent="0.2">
      <c r="A1" s="1" t="s">
        <v>0</v>
      </c>
      <c r="B1" s="1" t="s">
        <v>1</v>
      </c>
      <c r="C1" s="2" t="s">
        <v>7</v>
      </c>
      <c r="D1" s="2" t="s">
        <v>26</v>
      </c>
      <c r="E1" s="2" t="s">
        <v>27</v>
      </c>
      <c r="F1" s="2" t="s">
        <v>25</v>
      </c>
      <c r="G1" s="2" t="s">
        <v>3</v>
      </c>
      <c r="I1" s="2" t="s">
        <v>8</v>
      </c>
    </row>
    <row r="2" spans="1:9" x14ac:dyDescent="0.2">
      <c r="A2" t="s">
        <v>37</v>
      </c>
      <c r="B2">
        <v>1</v>
      </c>
      <c r="C2" s="4">
        <v>82983.290000000008</v>
      </c>
      <c r="D2" s="4">
        <v>19875.193333333333</v>
      </c>
      <c r="E2" s="4">
        <f>C2-D2</f>
        <v>63108.096666666679</v>
      </c>
      <c r="F2" s="3">
        <v>0.87236144425697626</v>
      </c>
      <c r="G2" s="4">
        <f>E2/F2</f>
        <v>72341.684839611713</v>
      </c>
      <c r="I2" s="4"/>
    </row>
    <row r="3" spans="1:9" x14ac:dyDescent="0.2">
      <c r="A3" t="s">
        <v>9</v>
      </c>
      <c r="B3">
        <v>2</v>
      </c>
      <c r="C3" s="4">
        <v>63696.54</v>
      </c>
      <c r="D3" s="4">
        <v>19875.193333333333</v>
      </c>
      <c r="E3" s="4">
        <f t="shared" ref="E3:E17" si="0">C3-D3</f>
        <v>43821.346666666665</v>
      </c>
      <c r="F3" s="3">
        <v>0.60278258955612152</v>
      </c>
      <c r="G3" s="4">
        <f t="shared" ref="G3:G17" si="1">E3/F3</f>
        <v>72698.42796709828</v>
      </c>
      <c r="I3" s="4"/>
    </row>
    <row r="4" spans="1:9" x14ac:dyDescent="0.2">
      <c r="A4" t="s">
        <v>39</v>
      </c>
      <c r="B4">
        <v>3</v>
      </c>
      <c r="C4" s="4">
        <v>95719.22</v>
      </c>
      <c r="D4" s="4">
        <v>19875.193333333333</v>
      </c>
      <c r="E4" s="4">
        <f t="shared" si="0"/>
        <v>75844.026666666672</v>
      </c>
      <c r="F4" s="3">
        <v>1.0475717781866121</v>
      </c>
      <c r="G4" s="4">
        <f t="shared" si="1"/>
        <v>72399.837649268928</v>
      </c>
      <c r="I4" s="4"/>
    </row>
    <row r="5" spans="1:9" x14ac:dyDescent="0.2">
      <c r="A5" t="s">
        <v>11</v>
      </c>
      <c r="B5">
        <v>4</v>
      </c>
      <c r="C5" s="4">
        <v>37852.269999999997</v>
      </c>
      <c r="D5" s="4">
        <v>19875.193333333333</v>
      </c>
      <c r="E5" s="4">
        <f t="shared" si="0"/>
        <v>17977.076666666664</v>
      </c>
      <c r="F5" s="3">
        <v>0.24528677313100089</v>
      </c>
      <c r="G5" s="4">
        <f t="shared" si="1"/>
        <v>73290.036952239592</v>
      </c>
      <c r="I5" s="4"/>
    </row>
    <row r="6" spans="1:9" x14ac:dyDescent="0.2">
      <c r="A6" t="s">
        <v>19</v>
      </c>
      <c r="B6">
        <v>5</v>
      </c>
      <c r="C6" s="4">
        <v>57151.560000000005</v>
      </c>
      <c r="D6" s="4">
        <v>19875.193333333333</v>
      </c>
      <c r="E6" s="4">
        <f t="shared" si="0"/>
        <v>37276.366666666669</v>
      </c>
      <c r="F6" s="3">
        <v>0.51298347844501013</v>
      </c>
      <c r="G6" s="4">
        <f t="shared" si="1"/>
        <v>72665.82303909921</v>
      </c>
      <c r="I6" s="4"/>
    </row>
    <row r="7" spans="1:9" x14ac:dyDescent="0.2">
      <c r="A7" t="s">
        <v>40</v>
      </c>
      <c r="B7">
        <v>6</v>
      </c>
      <c r="C7" s="4">
        <v>25717.960000000003</v>
      </c>
      <c r="D7" s="4">
        <v>19875.193333333333</v>
      </c>
      <c r="E7" s="4">
        <f t="shared" si="0"/>
        <v>5842.7666666666701</v>
      </c>
      <c r="F7" s="3">
        <v>7.0852534000565848E-2</v>
      </c>
      <c r="G7" s="4">
        <f t="shared" si="1"/>
        <v>82463.764339324945</v>
      </c>
      <c r="I7" s="4"/>
    </row>
    <row r="8" spans="1:9" x14ac:dyDescent="0.2">
      <c r="A8" t="s">
        <v>14</v>
      </c>
      <c r="B8">
        <v>7</v>
      </c>
      <c r="C8" s="4">
        <v>27084.510000000002</v>
      </c>
      <c r="D8" s="4">
        <v>19875.193333333333</v>
      </c>
      <c r="E8" s="4">
        <f t="shared" si="0"/>
        <v>7209.3166666666693</v>
      </c>
      <c r="F8" s="3">
        <v>9.8027034000565949E-2</v>
      </c>
      <c r="G8" s="4">
        <f t="shared" si="1"/>
        <v>73544.168097802976</v>
      </c>
      <c r="I8" s="4"/>
    </row>
    <row r="9" spans="1:9" x14ac:dyDescent="0.2">
      <c r="A9" t="s">
        <v>41</v>
      </c>
      <c r="B9">
        <v>8</v>
      </c>
      <c r="C9" s="4">
        <v>53849.69</v>
      </c>
      <c r="D9" s="4">
        <v>19875.193333333333</v>
      </c>
      <c r="E9" s="4">
        <f t="shared" si="0"/>
        <v>33974.496666666673</v>
      </c>
      <c r="F9" s="3">
        <v>0.46028968516335655</v>
      </c>
      <c r="G9" s="4">
        <f t="shared" si="1"/>
        <v>73811.118870954379</v>
      </c>
      <c r="I9" s="4"/>
    </row>
    <row r="10" spans="1:9" x14ac:dyDescent="0.2">
      <c r="A10" t="s">
        <v>42</v>
      </c>
      <c r="B10">
        <v>9</v>
      </c>
      <c r="C10" s="4">
        <v>40397.630000000005</v>
      </c>
      <c r="D10" s="4">
        <v>19875.193333333333</v>
      </c>
      <c r="E10" s="4">
        <f t="shared" si="0"/>
        <v>20522.436666666672</v>
      </c>
      <c r="F10" s="3">
        <v>0.27667642934940306</v>
      </c>
      <c r="G10" s="4">
        <f t="shared" si="1"/>
        <v>74174.864533724874</v>
      </c>
      <c r="I10" s="4"/>
    </row>
    <row r="11" spans="1:9" x14ac:dyDescent="0.2">
      <c r="A11" t="s">
        <v>16</v>
      </c>
      <c r="B11">
        <v>10</v>
      </c>
      <c r="C11" s="4">
        <v>44459.619999999995</v>
      </c>
      <c r="D11" s="4">
        <v>19875.193333333333</v>
      </c>
      <c r="E11" s="4">
        <f t="shared" si="0"/>
        <v>24584.426666666663</v>
      </c>
      <c r="F11" s="3">
        <v>0.3179510340005659</v>
      </c>
      <c r="G11" s="4">
        <f t="shared" si="1"/>
        <v>77321.423859948525</v>
      </c>
      <c r="I11" s="4"/>
    </row>
    <row r="12" spans="1:9" x14ac:dyDescent="0.2">
      <c r="A12" t="s">
        <v>17</v>
      </c>
      <c r="B12">
        <v>11</v>
      </c>
      <c r="C12" s="4">
        <v>56875.56</v>
      </c>
      <c r="D12" s="4">
        <v>19875.193333333333</v>
      </c>
      <c r="E12" s="4">
        <f t="shared" si="0"/>
        <v>37000.366666666669</v>
      </c>
      <c r="F12" s="3">
        <v>0.50043888015441218</v>
      </c>
      <c r="G12" s="4">
        <f t="shared" si="1"/>
        <v>73935.835391626795</v>
      </c>
      <c r="I12" s="4"/>
    </row>
    <row r="13" spans="1:9" x14ac:dyDescent="0.2">
      <c r="A13" t="s">
        <v>43</v>
      </c>
      <c r="B13">
        <v>12</v>
      </c>
      <c r="C13" s="4">
        <v>165482.5</v>
      </c>
      <c r="D13" s="4">
        <v>19875.193333333333</v>
      </c>
      <c r="E13" s="4">
        <f t="shared" si="0"/>
        <v>145607.30666666667</v>
      </c>
      <c r="F13" s="3">
        <v>1.9434560866321451</v>
      </c>
      <c r="G13" s="4">
        <f t="shared" si="1"/>
        <v>74921.840358632733</v>
      </c>
      <c r="I13" s="4"/>
    </row>
    <row r="14" spans="1:9" x14ac:dyDescent="0.2">
      <c r="A14" t="s">
        <v>44</v>
      </c>
      <c r="B14">
        <v>13</v>
      </c>
      <c r="C14" s="4">
        <v>89121.939999999988</v>
      </c>
      <c r="D14" s="4">
        <v>19875.193333333333</v>
      </c>
      <c r="E14" s="4">
        <f t="shared" si="0"/>
        <v>69246.746666666659</v>
      </c>
      <c r="F14" s="3">
        <v>0.954375784000566</v>
      </c>
      <c r="G14" s="4">
        <f t="shared" si="1"/>
        <v>72557.107826434105</v>
      </c>
      <c r="I14" s="4"/>
    </row>
    <row r="15" spans="1:9" x14ac:dyDescent="0.2">
      <c r="A15" t="s">
        <v>20</v>
      </c>
      <c r="B15">
        <v>14</v>
      </c>
      <c r="C15" s="4">
        <v>157139.57</v>
      </c>
      <c r="D15" s="4">
        <v>19875.193333333333</v>
      </c>
      <c r="E15" s="4">
        <f t="shared" si="0"/>
        <v>137264.37666666668</v>
      </c>
      <c r="F15" s="3">
        <v>1.8652034550531973</v>
      </c>
      <c r="G15" s="4">
        <f t="shared" si="1"/>
        <v>73592.173708873903</v>
      </c>
      <c r="I15" s="4"/>
    </row>
    <row r="16" spans="1:9" x14ac:dyDescent="0.2">
      <c r="A16" t="s">
        <v>21</v>
      </c>
      <c r="B16">
        <v>15</v>
      </c>
      <c r="C16" s="4">
        <v>48932.369999999988</v>
      </c>
      <c r="D16" s="4">
        <v>19875.193333333333</v>
      </c>
      <c r="E16" s="4">
        <f t="shared" si="0"/>
        <v>29057.176666666655</v>
      </c>
      <c r="F16" s="3">
        <v>0.40167203400056595</v>
      </c>
      <c r="G16" s="4">
        <f t="shared" si="1"/>
        <v>72340.552010214669</v>
      </c>
      <c r="I16" s="4"/>
    </row>
    <row r="17" spans="1:9" x14ac:dyDescent="0.2">
      <c r="A17" t="s">
        <v>45</v>
      </c>
      <c r="B17">
        <v>16</v>
      </c>
      <c r="C17" s="4">
        <v>68822.089999999982</v>
      </c>
      <c r="D17" s="4">
        <v>19875.193333333333</v>
      </c>
      <c r="E17" s="4">
        <f t="shared" si="0"/>
        <v>48946.896666666653</v>
      </c>
      <c r="F17" s="3">
        <v>0.66486398136898694</v>
      </c>
      <c r="G17" s="4">
        <f t="shared" si="1"/>
        <v>73619.413952734569</v>
      </c>
      <c r="I17" s="4"/>
    </row>
    <row r="18" spans="1:9" x14ac:dyDescent="0.2">
      <c r="C18" s="4"/>
      <c r="D18" s="4"/>
      <c r="E18" s="4"/>
      <c r="F18" s="3"/>
      <c r="G18" s="4"/>
      <c r="I18" s="4"/>
    </row>
    <row r="19" spans="1:9" x14ac:dyDescent="0.2">
      <c r="C19" s="4"/>
      <c r="D19" s="4"/>
      <c r="E19" s="4"/>
      <c r="F19" s="3"/>
      <c r="G19" s="4"/>
      <c r="I19" s="4"/>
    </row>
    <row r="20" spans="1:9" x14ac:dyDescent="0.2">
      <c r="I20" s="4"/>
    </row>
    <row r="21" spans="1:9" x14ac:dyDescent="0.2">
      <c r="C21" s="4">
        <f>AVERAGE(C2:C19)</f>
        <v>69705.395000000004</v>
      </c>
      <c r="D21" s="4"/>
      <c r="E21" s="7">
        <f t="shared" ref="E21" si="2">AVERAGE(E2:E19)</f>
        <v>49830.201666666668</v>
      </c>
      <c r="F21" t="s">
        <v>4</v>
      </c>
      <c r="G21" s="7">
        <f>AVERAGE(G2:G19)</f>
        <v>74104.87958734938</v>
      </c>
      <c r="H21" s="4"/>
      <c r="I21" s="4" t="e">
        <f t="shared" ref="I21" si="3">AVERAGE(I2:I19)</f>
        <v>#DIV/0!</v>
      </c>
    </row>
    <row r="22" spans="1:9" x14ac:dyDescent="0.2">
      <c r="C22" s="4">
        <f>_xlfn.STDEV.S(C2:C19)</f>
        <v>41111.535002357006</v>
      </c>
      <c r="D22" s="4"/>
      <c r="E22" s="4">
        <f t="shared" ref="E22" si="4">_xlfn.STDEV.S(E2:E19)</f>
        <v>41111.535002357021</v>
      </c>
      <c r="F22" t="s">
        <v>5</v>
      </c>
      <c r="G22" s="4">
        <f>_xlfn.STDEV.S(G2:G19)</f>
        <v>2556.7515640464958</v>
      </c>
      <c r="H22" s="4"/>
      <c r="I22" s="4" t="e">
        <f t="shared" ref="I22" si="5">_xlfn.STDEV.S(I2:I19)</f>
        <v>#DIV/0!</v>
      </c>
    </row>
    <row r="23" spans="1:9" x14ac:dyDescent="0.2">
      <c r="C23" s="4">
        <f>C22/SQRT(COUNT(C2:C19))</f>
        <v>10277.883750589252</v>
      </c>
      <c r="D23" s="4"/>
      <c r="E23" s="7">
        <f t="shared" ref="E23" si="6">E22/SQRT(COUNT(E2:E19))</f>
        <v>10277.883750589255</v>
      </c>
      <c r="F23" t="s">
        <v>6</v>
      </c>
      <c r="G23" s="7">
        <f>G22/SQRT(COUNT(G2:G19))</f>
        <v>639.18789101162395</v>
      </c>
      <c r="H23" s="4"/>
      <c r="I23" s="4" t="e">
        <f t="shared" ref="I23" si="7">I22/SQRT(COUNT(I2:I19))</f>
        <v>#DIV/0!</v>
      </c>
    </row>
    <row r="25" spans="1:9" ht="32" x14ac:dyDescent="0.2">
      <c r="A25" s="6" t="s">
        <v>28</v>
      </c>
      <c r="B25" t="s">
        <v>29</v>
      </c>
      <c r="C25" t="s">
        <v>56</v>
      </c>
    </row>
    <row r="26" spans="1:9" x14ac:dyDescent="0.2">
      <c r="A26" t="s">
        <v>46</v>
      </c>
      <c r="C26">
        <v>108103.08</v>
      </c>
    </row>
    <row r="27" spans="1:9" x14ac:dyDescent="0.2">
      <c r="A27" t="s">
        <v>47</v>
      </c>
      <c r="B27">
        <v>4721.96</v>
      </c>
    </row>
    <row r="28" spans="1:9" x14ac:dyDescent="0.2">
      <c r="A28" t="s">
        <v>31</v>
      </c>
      <c r="B28">
        <v>44064.719999999994</v>
      </c>
    </row>
    <row r="29" spans="1:9" x14ac:dyDescent="0.2">
      <c r="A29" t="s">
        <v>32</v>
      </c>
      <c r="C29">
        <v>137704.46999999997</v>
      </c>
    </row>
    <row r="30" spans="1:9" x14ac:dyDescent="0.2">
      <c r="A30" t="s">
        <v>48</v>
      </c>
      <c r="B30">
        <v>36752.1</v>
      </c>
    </row>
    <row r="31" spans="1:9" x14ac:dyDescent="0.2">
      <c r="A31" t="s">
        <v>49</v>
      </c>
      <c r="B31">
        <v>12330.76</v>
      </c>
    </row>
    <row r="32" spans="1:9" x14ac:dyDescent="0.2">
      <c r="A32" t="s">
        <v>50</v>
      </c>
      <c r="C32">
        <v>70587.799999999988</v>
      </c>
    </row>
    <row r="33" spans="1:3" x14ac:dyDescent="0.2">
      <c r="A33" t="s">
        <v>51</v>
      </c>
      <c r="C33">
        <v>65416.909999999996</v>
      </c>
    </row>
    <row r="34" spans="1:3" x14ac:dyDescent="0.2">
      <c r="A34" t="s">
        <v>52</v>
      </c>
      <c r="B34">
        <v>8823.33</v>
      </c>
    </row>
    <row r="35" spans="1:3" x14ac:dyDescent="0.2">
      <c r="A35" t="s">
        <v>35</v>
      </c>
      <c r="B35">
        <v>15627.34</v>
      </c>
    </row>
    <row r="36" spans="1:3" x14ac:dyDescent="0.2">
      <c r="A36" t="s">
        <v>36</v>
      </c>
      <c r="B36">
        <v>34767.300000000003</v>
      </c>
    </row>
    <row r="37" spans="1:3" x14ac:dyDescent="0.2">
      <c r="A37" t="s">
        <v>55</v>
      </c>
      <c r="C37">
        <v>79638.87999999999</v>
      </c>
    </row>
    <row r="38" spans="1:3" x14ac:dyDescent="0.2">
      <c r="A38" t="s">
        <v>54</v>
      </c>
      <c r="B38">
        <v>21274.55</v>
      </c>
    </row>
    <row r="39" spans="1:3" x14ac:dyDescent="0.2">
      <c r="A39" t="s">
        <v>53</v>
      </c>
      <c r="B39">
        <v>514.67999999999995</v>
      </c>
    </row>
    <row r="41" spans="1:3" x14ac:dyDescent="0.2">
      <c r="B41">
        <f>AVERAGE(B26:B39)</f>
        <v>19875.193333333333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E1E8-86D5-4F59-BF8B-7EF6E18DE999}">
  <dimension ref="A1:I32"/>
  <sheetViews>
    <sheetView zoomScale="90" workbookViewId="0">
      <selection activeCell="G21" sqref="G21"/>
    </sheetView>
  </sheetViews>
  <sheetFormatPr baseColWidth="10" defaultColWidth="8.83203125" defaultRowHeight="15" x14ac:dyDescent="0.2"/>
  <cols>
    <col min="1" max="1" width="11.33203125" customWidth="1"/>
    <col min="3" max="7" width="13.6640625" customWidth="1"/>
    <col min="9" max="9" width="13.5" customWidth="1"/>
  </cols>
  <sheetData>
    <row r="1" spans="1:9" ht="42.75" customHeight="1" x14ac:dyDescent="0.2">
      <c r="A1" s="1" t="s">
        <v>0</v>
      </c>
      <c r="B1" s="1" t="s">
        <v>1</v>
      </c>
      <c r="C1" s="2" t="s">
        <v>2</v>
      </c>
      <c r="D1" s="2" t="s">
        <v>26</v>
      </c>
      <c r="E1" s="2" t="s">
        <v>27</v>
      </c>
      <c r="F1" s="2" t="s">
        <v>25</v>
      </c>
      <c r="G1" s="2" t="s">
        <v>3</v>
      </c>
      <c r="I1" s="2" t="s">
        <v>8</v>
      </c>
    </row>
    <row r="2" spans="1:9" x14ac:dyDescent="0.2">
      <c r="A2" t="s">
        <v>9</v>
      </c>
      <c r="B2">
        <v>1</v>
      </c>
      <c r="C2" s="4">
        <v>249508.40100000001</v>
      </c>
      <c r="D2" s="4">
        <v>34155.001428571435</v>
      </c>
      <c r="E2" s="4">
        <f>C2-D2</f>
        <v>215353.39957142857</v>
      </c>
      <c r="F2" s="3">
        <v>2.8960496969696963</v>
      </c>
      <c r="G2" s="4">
        <f>E2/F2</f>
        <v>74361.085652903421</v>
      </c>
      <c r="I2" s="4">
        <v>74032.615810140516</v>
      </c>
    </row>
    <row r="3" spans="1:9" x14ac:dyDescent="0.2">
      <c r="A3" t="s">
        <v>10</v>
      </c>
      <c r="B3">
        <v>2</v>
      </c>
      <c r="C3" s="4">
        <v>161395.95599999998</v>
      </c>
      <c r="D3" s="4">
        <v>34155.001428571435</v>
      </c>
      <c r="E3" s="4">
        <f t="shared" ref="E3:E17" si="0">C3-D3</f>
        <v>127240.95457142853</v>
      </c>
      <c r="F3" s="3">
        <v>1.7433149722222221</v>
      </c>
      <c r="G3" s="4">
        <f t="shared" ref="G3:G17" si="1">E3/F3</f>
        <v>72987.931956571876</v>
      </c>
      <c r="I3" s="4">
        <v>72782.352327597328</v>
      </c>
    </row>
    <row r="4" spans="1:9" x14ac:dyDescent="0.2">
      <c r="A4" t="s">
        <v>11</v>
      </c>
      <c r="B4">
        <v>3</v>
      </c>
      <c r="C4" s="4">
        <v>170843.81999999998</v>
      </c>
      <c r="D4" s="4">
        <v>34155.001428571435</v>
      </c>
      <c r="E4" s="4">
        <f t="shared" si="0"/>
        <v>136688.81857142854</v>
      </c>
      <c r="F4" s="3">
        <v>1.8580068055555552</v>
      </c>
      <c r="G4" s="4">
        <f t="shared" si="1"/>
        <v>73567.447741698532</v>
      </c>
      <c r="I4" s="4">
        <v>73254.14692772206</v>
      </c>
    </row>
    <row r="5" spans="1:9" x14ac:dyDescent="0.2">
      <c r="A5" t="s">
        <v>19</v>
      </c>
      <c r="B5">
        <v>4</v>
      </c>
      <c r="C5" s="4">
        <v>373886.13000000006</v>
      </c>
      <c r="D5" s="4">
        <v>34155.001428571435</v>
      </c>
      <c r="E5" s="4">
        <f t="shared" si="0"/>
        <v>339731.12857142865</v>
      </c>
      <c r="F5" s="3">
        <v>4.6323223529411761</v>
      </c>
      <c r="G5" s="4">
        <f t="shared" si="1"/>
        <v>73339.267582646731</v>
      </c>
      <c r="I5" s="4">
        <v>73217.368721524326</v>
      </c>
    </row>
    <row r="6" spans="1:9" x14ac:dyDescent="0.2">
      <c r="A6" t="s">
        <v>12</v>
      </c>
      <c r="B6">
        <v>5</v>
      </c>
      <c r="C6" s="4">
        <v>130054.12999999999</v>
      </c>
      <c r="D6" s="4">
        <v>34155.001428571435</v>
      </c>
      <c r="E6" s="4">
        <f t="shared" si="0"/>
        <v>95899.128571428562</v>
      </c>
      <c r="F6" s="3">
        <v>1.304779166666667</v>
      </c>
      <c r="G6" s="4">
        <f t="shared" si="1"/>
        <v>73498.359738853789</v>
      </c>
      <c r="I6" s="4">
        <v>73106.04443091189</v>
      </c>
    </row>
    <row r="7" spans="1:9" x14ac:dyDescent="0.2">
      <c r="A7" t="s">
        <v>13</v>
      </c>
      <c r="B7">
        <v>6</v>
      </c>
      <c r="C7" s="4">
        <v>177533.18000000002</v>
      </c>
      <c r="D7" s="4">
        <v>34155.001428571435</v>
      </c>
      <c r="E7" s="4">
        <f t="shared" si="0"/>
        <v>143378.17857142858</v>
      </c>
      <c r="F7" s="3">
        <v>1.8969418181818187</v>
      </c>
      <c r="G7" s="4">
        <f t="shared" si="1"/>
        <v>75583.856709350075</v>
      </c>
      <c r="I7" s="4">
        <v>74872.442735682373</v>
      </c>
    </row>
    <row r="8" spans="1:9" x14ac:dyDescent="0.2">
      <c r="A8" t="s">
        <v>14</v>
      </c>
      <c r="B8">
        <v>7</v>
      </c>
      <c r="C8" s="4">
        <v>227099.18999999997</v>
      </c>
      <c r="D8" s="4">
        <v>34155.001428571435</v>
      </c>
      <c r="E8" s="4">
        <f t="shared" si="0"/>
        <v>192944.18857142853</v>
      </c>
      <c r="F8" s="3">
        <v>2.6219212121212121</v>
      </c>
      <c r="G8" s="4">
        <f t="shared" si="1"/>
        <v>73588.858307199451</v>
      </c>
      <c r="I8" s="4">
        <v>73349.579826175453</v>
      </c>
    </row>
    <row r="9" spans="1:9" x14ac:dyDescent="0.2">
      <c r="A9" t="s">
        <v>15</v>
      </c>
      <c r="B9">
        <v>8</v>
      </c>
      <c r="C9" s="4">
        <v>176484.20000000004</v>
      </c>
      <c r="D9" s="4">
        <v>34155.001428571435</v>
      </c>
      <c r="E9" s="4">
        <f t="shared" si="0"/>
        <v>142329.1985714286</v>
      </c>
      <c r="F9" s="3">
        <v>1.9160870588235297</v>
      </c>
      <c r="G9" s="4">
        <f t="shared" si="1"/>
        <v>74281.175229489934</v>
      </c>
      <c r="I9" s="4">
        <v>73833.893443268447</v>
      </c>
    </row>
    <row r="10" spans="1:9" x14ac:dyDescent="0.2">
      <c r="A10" t="s">
        <v>16</v>
      </c>
      <c r="B10">
        <v>9</v>
      </c>
      <c r="C10" s="4">
        <v>308905.81999999995</v>
      </c>
      <c r="D10" s="4">
        <v>34155.001428571435</v>
      </c>
      <c r="E10" s="4">
        <f t="shared" si="0"/>
        <v>274750.81857142854</v>
      </c>
      <c r="F10" s="3">
        <v>3.7751973684210527</v>
      </c>
      <c r="G10" s="4">
        <f t="shared" si="1"/>
        <v>72777.86874659243</v>
      </c>
      <c r="I10" s="4">
        <v>72694.030051319947</v>
      </c>
    </row>
    <row r="11" spans="1:9" x14ac:dyDescent="0.2">
      <c r="A11" t="s">
        <v>17</v>
      </c>
      <c r="B11">
        <v>10</v>
      </c>
      <c r="C11" s="4">
        <v>121360.98999999999</v>
      </c>
      <c r="D11" s="4">
        <v>34155.001428571435</v>
      </c>
      <c r="E11" s="4">
        <f t="shared" si="0"/>
        <v>87205.988571428548</v>
      </c>
      <c r="F11" s="3">
        <v>1.1526938888888889</v>
      </c>
      <c r="G11" s="4">
        <f t="shared" si="1"/>
        <v>75654.07382829854</v>
      </c>
      <c r="I11" s="4">
        <v>74596.745878051865</v>
      </c>
    </row>
    <row r="12" spans="1:9" x14ac:dyDescent="0.2">
      <c r="A12" t="s">
        <v>18</v>
      </c>
      <c r="B12">
        <v>11</v>
      </c>
      <c r="C12" s="4">
        <v>314181.11999999994</v>
      </c>
      <c r="D12" s="4">
        <v>34155.001428571435</v>
      </c>
      <c r="E12" s="4">
        <f t="shared" si="0"/>
        <v>280026.11857142852</v>
      </c>
      <c r="F12" s="3">
        <v>3.7090999999999998</v>
      </c>
      <c r="G12" s="4">
        <f t="shared" si="1"/>
        <v>75497.052808343942</v>
      </c>
      <c r="I12" s="4">
        <v>75103.655009203241</v>
      </c>
    </row>
    <row r="13" spans="1:9" x14ac:dyDescent="0.2">
      <c r="A13" t="s">
        <v>20</v>
      </c>
      <c r="B13">
        <v>12</v>
      </c>
      <c r="C13" s="4">
        <v>264041.21000000002</v>
      </c>
      <c r="D13" s="4">
        <v>34155.001428571435</v>
      </c>
      <c r="E13" s="4">
        <f t="shared" si="0"/>
        <v>229886.20857142858</v>
      </c>
      <c r="F13" s="3">
        <v>3.0588569696969681</v>
      </c>
      <c r="G13" s="4">
        <f t="shared" si="1"/>
        <v>75154.285031575942</v>
      </c>
      <c r="I13" s="4">
        <v>74734.489781705095</v>
      </c>
    </row>
    <row r="14" spans="1:9" x14ac:dyDescent="0.2">
      <c r="A14" t="s">
        <v>21</v>
      </c>
      <c r="B14">
        <v>13</v>
      </c>
      <c r="C14" s="4">
        <v>72270.209999999992</v>
      </c>
      <c r="D14" s="4">
        <v>34155.001428571435</v>
      </c>
      <c r="E14" s="4">
        <f t="shared" si="0"/>
        <v>38115.208571428557</v>
      </c>
      <c r="F14" s="3">
        <v>0.50248266666666641</v>
      </c>
      <c r="G14" s="4">
        <f t="shared" si="1"/>
        <v>75853.777851233157</v>
      </c>
      <c r="I14" s="4">
        <v>73995.589833340622</v>
      </c>
    </row>
    <row r="15" spans="1:9" x14ac:dyDescent="0.2">
      <c r="A15" t="s">
        <v>22</v>
      </c>
      <c r="B15">
        <v>14</v>
      </c>
      <c r="C15" s="4">
        <v>128655.98</v>
      </c>
      <c r="D15" s="4">
        <v>34155.001428571435</v>
      </c>
      <c r="E15" s="4">
        <f t="shared" si="0"/>
        <v>94500.978571428568</v>
      </c>
      <c r="F15" s="3">
        <v>1.283636216216216</v>
      </c>
      <c r="G15" s="4">
        <f t="shared" si="1"/>
        <v>73619.750968066175</v>
      </c>
      <c r="I15" s="4">
        <v>73189.970039947759</v>
      </c>
    </row>
    <row r="16" spans="1:9" x14ac:dyDescent="0.2">
      <c r="A16" t="s">
        <v>23</v>
      </c>
      <c r="B16">
        <v>15</v>
      </c>
      <c r="C16" s="4">
        <v>186062.28</v>
      </c>
      <c r="D16" s="4">
        <v>34155.001428571435</v>
      </c>
      <c r="E16" s="4">
        <f t="shared" si="0"/>
        <v>151907.27857142856</v>
      </c>
      <c r="F16" s="3">
        <v>1.9934504255319148</v>
      </c>
      <c r="G16" s="4">
        <f t="shared" si="1"/>
        <v>76203.188514655412</v>
      </c>
      <c r="I16" s="4">
        <v>75400.582706074871</v>
      </c>
    </row>
    <row r="17" spans="1:9" x14ac:dyDescent="0.2">
      <c r="A17" t="s">
        <v>24</v>
      </c>
      <c r="B17">
        <v>16</v>
      </c>
      <c r="C17" s="4">
        <v>184724.94000000003</v>
      </c>
      <c r="D17" s="4">
        <v>34155.001428571435</v>
      </c>
      <c r="E17" s="4">
        <f t="shared" si="0"/>
        <v>150569.93857142859</v>
      </c>
      <c r="F17" s="3">
        <v>2.0585362162162162</v>
      </c>
      <c r="G17" s="4">
        <f t="shared" si="1"/>
        <v>73144.177588573279</v>
      </c>
      <c r="I17" s="4">
        <v>72934.930537681503</v>
      </c>
    </row>
    <row r="18" spans="1:9" x14ac:dyDescent="0.2">
      <c r="I18" s="4"/>
    </row>
    <row r="19" spans="1:9" x14ac:dyDescent="0.2">
      <c r="C19" s="4">
        <f>AVERAGE(C2:C17)</f>
        <v>202937.97231249994</v>
      </c>
      <c r="D19" s="4"/>
      <c r="E19" s="7">
        <f t="shared" ref="E19" si="2">AVERAGE(E2:E17)</f>
        <v>168782.97088392856</v>
      </c>
      <c r="F19" t="s">
        <v>4</v>
      </c>
      <c r="G19" s="7">
        <f>AVERAGE(G2:G17)</f>
        <v>74319.509891003283</v>
      </c>
      <c r="H19" s="4"/>
      <c r="I19" s="4">
        <f>AVERAGE(I2:I17)</f>
        <v>73818.652378771716</v>
      </c>
    </row>
    <row r="20" spans="1:9" x14ac:dyDescent="0.2">
      <c r="C20" s="4">
        <f>_xlfn.STDEV.S(C2:C17)</f>
        <v>81071.939249861709</v>
      </c>
      <c r="D20" s="4"/>
      <c r="E20" s="4">
        <f t="shared" ref="E20" si="3">_xlfn.STDEV.S(E2:E17)</f>
        <v>81071.939249861607</v>
      </c>
      <c r="F20" t="s">
        <v>5</v>
      </c>
      <c r="G20" s="4">
        <f>_xlfn.STDEV.S(G2:G17)</f>
        <v>1158.2731287654783</v>
      </c>
      <c r="H20" s="4"/>
      <c r="I20" s="4">
        <f>_xlfn.STDEV.S(I2:I17)</f>
        <v>883.50299455347465</v>
      </c>
    </row>
    <row r="21" spans="1:9" x14ac:dyDescent="0.2">
      <c r="C21" s="4">
        <f>C20/SQRT(COUNT(C2:C17))</f>
        <v>20267.984812465427</v>
      </c>
      <c r="D21" s="4"/>
      <c r="E21" s="7">
        <f t="shared" ref="E21" si="4">E20/SQRT(COUNT(E2:E17))</f>
        <v>20267.984812465402</v>
      </c>
      <c r="F21" t="s">
        <v>6</v>
      </c>
      <c r="G21" s="7">
        <f>G20/SQRT(COUNT(G2:G17))</f>
        <v>289.56828219136958</v>
      </c>
      <c r="H21" s="4"/>
      <c r="I21" s="4">
        <f>I20/SQRT(COUNT(I2:I17))</f>
        <v>220.87574863836866</v>
      </c>
    </row>
    <row r="23" spans="1:9" ht="32" x14ac:dyDescent="0.2">
      <c r="A23" s="6" t="s">
        <v>28</v>
      </c>
      <c r="B23" t="s">
        <v>29</v>
      </c>
    </row>
    <row r="24" spans="1:9" x14ac:dyDescent="0.2">
      <c r="A24" t="s">
        <v>30</v>
      </c>
      <c r="B24">
        <v>34239.300000000003</v>
      </c>
    </row>
    <row r="25" spans="1:9" x14ac:dyDescent="0.2">
      <c r="A25" t="s">
        <v>31</v>
      </c>
      <c r="B25">
        <v>65679.239999999991</v>
      </c>
    </row>
    <row r="26" spans="1:9" x14ac:dyDescent="0.2">
      <c r="A26" t="s">
        <v>32</v>
      </c>
      <c r="B26">
        <v>50575.65</v>
      </c>
    </row>
    <row r="27" spans="1:9" x14ac:dyDescent="0.2">
      <c r="A27" t="s">
        <v>33</v>
      </c>
      <c r="B27">
        <v>44242.78</v>
      </c>
    </row>
    <row r="28" spans="1:9" x14ac:dyDescent="0.2">
      <c r="A28" t="s">
        <v>34</v>
      </c>
      <c r="B28">
        <v>12941.42</v>
      </c>
    </row>
    <row r="29" spans="1:9" x14ac:dyDescent="0.2">
      <c r="A29" t="s">
        <v>35</v>
      </c>
      <c r="B29">
        <v>10328.64</v>
      </c>
    </row>
    <row r="30" spans="1:9" x14ac:dyDescent="0.2">
      <c r="A30" t="s">
        <v>36</v>
      </c>
      <c r="B30">
        <v>21077.98</v>
      </c>
    </row>
    <row r="32" spans="1:9" x14ac:dyDescent="0.2">
      <c r="B32">
        <f>AVERAGE(B24:B30)</f>
        <v>34155.001428571435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C3AA-E640-4040-B68C-C87564D2F0E9}">
  <dimension ref="A1:I40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1" max="1" width="11.6640625" customWidth="1"/>
    <col min="3" max="7" width="13.6640625" customWidth="1"/>
    <col min="9" max="9" width="13.33203125" customWidth="1"/>
  </cols>
  <sheetData>
    <row r="1" spans="1:9" ht="48" x14ac:dyDescent="0.2">
      <c r="A1" s="1" t="s">
        <v>0</v>
      </c>
      <c r="B1" s="1" t="s">
        <v>1</v>
      </c>
      <c r="C1" s="2" t="s">
        <v>2</v>
      </c>
      <c r="D1" s="2" t="s">
        <v>26</v>
      </c>
      <c r="E1" s="2" t="s">
        <v>27</v>
      </c>
      <c r="F1" s="2" t="s">
        <v>25</v>
      </c>
      <c r="G1" s="2" t="s">
        <v>3</v>
      </c>
      <c r="I1" s="2" t="s">
        <v>8</v>
      </c>
    </row>
    <row r="2" spans="1:9" x14ac:dyDescent="0.2">
      <c r="A2" t="s">
        <v>37</v>
      </c>
      <c r="B2">
        <v>1</v>
      </c>
      <c r="C2" s="4">
        <v>295570.03999999998</v>
      </c>
      <c r="D2" s="4">
        <v>17853.89</v>
      </c>
      <c r="E2" s="4">
        <f>C2-D2</f>
        <v>277716.14999999997</v>
      </c>
      <c r="F2" s="3">
        <v>3.7945807398795255</v>
      </c>
      <c r="G2" s="4">
        <f>E2/F2</f>
        <v>73187.571707544485</v>
      </c>
      <c r="I2" s="4"/>
    </row>
    <row r="3" spans="1:9" x14ac:dyDescent="0.2">
      <c r="A3" t="s">
        <v>10</v>
      </c>
      <c r="B3">
        <v>2</v>
      </c>
      <c r="C3" s="4">
        <v>308495.58</v>
      </c>
      <c r="D3" s="4">
        <v>17853.89</v>
      </c>
      <c r="E3" s="4">
        <f t="shared" ref="E3:E21" si="0">C3-D3</f>
        <v>290641.69</v>
      </c>
      <c r="F3" s="3">
        <v>3.9967307584841762</v>
      </c>
      <c r="G3" s="4">
        <f t="shared" ref="G3:G21" si="1">E3/F3</f>
        <v>72719.857194040887</v>
      </c>
      <c r="I3" s="4"/>
    </row>
    <row r="4" spans="1:9" x14ac:dyDescent="0.2">
      <c r="A4" t="s">
        <v>11</v>
      </c>
      <c r="B4">
        <v>3</v>
      </c>
      <c r="C4" s="4">
        <v>221346.49999999997</v>
      </c>
      <c r="D4" s="4">
        <v>17853.89</v>
      </c>
      <c r="E4" s="4">
        <f t="shared" si="0"/>
        <v>203492.61</v>
      </c>
      <c r="F4" s="3">
        <v>2.7903325621017476</v>
      </c>
      <c r="G4" s="4">
        <f t="shared" si="1"/>
        <v>72927.72652401129</v>
      </c>
      <c r="I4" s="4"/>
    </row>
    <row r="5" spans="1:9" x14ac:dyDescent="0.2">
      <c r="A5" t="s">
        <v>19</v>
      </c>
      <c r="B5">
        <v>4</v>
      </c>
      <c r="C5" s="4">
        <v>226982.84999999998</v>
      </c>
      <c r="D5" s="4">
        <v>17853.89</v>
      </c>
      <c r="E5" s="4">
        <f t="shared" si="0"/>
        <v>209128.95999999996</v>
      </c>
      <c r="F5" s="3">
        <v>2.8398486475718339</v>
      </c>
      <c r="G5" s="4">
        <f t="shared" si="1"/>
        <v>73640.882298009878</v>
      </c>
      <c r="I5" s="4"/>
    </row>
    <row r="6" spans="1:9" x14ac:dyDescent="0.2">
      <c r="A6" t="s">
        <v>57</v>
      </c>
      <c r="B6">
        <v>5</v>
      </c>
      <c r="C6" s="4">
        <v>202327.86000000002</v>
      </c>
      <c r="D6" s="4">
        <v>17853.89</v>
      </c>
      <c r="E6" s="4">
        <f t="shared" si="0"/>
        <v>184473.97000000003</v>
      </c>
      <c r="F6" s="3">
        <v>2.5140668527000396</v>
      </c>
      <c r="G6" s="4">
        <f t="shared" si="1"/>
        <v>73376.716216547706</v>
      </c>
      <c r="I6" s="4"/>
    </row>
    <row r="7" spans="1:9" x14ac:dyDescent="0.2">
      <c r="A7" t="s">
        <v>58</v>
      </c>
      <c r="B7">
        <v>6</v>
      </c>
      <c r="C7" s="4">
        <v>366168.51</v>
      </c>
      <c r="D7" s="4">
        <v>17853.89</v>
      </c>
      <c r="E7" s="4">
        <f t="shared" si="0"/>
        <v>348314.62</v>
      </c>
      <c r="F7" s="3">
        <v>4.7692159398795253</v>
      </c>
      <c r="G7" s="4">
        <f t="shared" si="1"/>
        <v>73033.937735433879</v>
      </c>
      <c r="I7" s="4"/>
    </row>
    <row r="8" spans="1:9" x14ac:dyDescent="0.2">
      <c r="A8" t="s">
        <v>40</v>
      </c>
      <c r="B8">
        <v>7</v>
      </c>
      <c r="C8" s="4">
        <v>258027.51999999999</v>
      </c>
      <c r="D8" s="4">
        <v>17853.89</v>
      </c>
      <c r="E8" s="4">
        <f t="shared" si="0"/>
        <v>240173.63</v>
      </c>
      <c r="F8" s="3">
        <v>3.254931339879525</v>
      </c>
      <c r="G8" s="4">
        <f t="shared" si="1"/>
        <v>73787.617900686528</v>
      </c>
      <c r="I8" s="4"/>
    </row>
    <row r="9" spans="1:9" x14ac:dyDescent="0.2">
      <c r="A9" t="s">
        <v>13</v>
      </c>
      <c r="B9">
        <v>8</v>
      </c>
      <c r="C9" s="4">
        <v>204977.72000000006</v>
      </c>
      <c r="D9" s="4">
        <v>17853.89</v>
      </c>
      <c r="E9" s="4">
        <f t="shared" si="0"/>
        <v>187123.83000000007</v>
      </c>
      <c r="F9" s="3">
        <v>2.5935377684509535</v>
      </c>
      <c r="G9" s="4">
        <f t="shared" si="1"/>
        <v>72150.030848312585</v>
      </c>
      <c r="I9" s="4"/>
    </row>
    <row r="10" spans="1:9" x14ac:dyDescent="0.2">
      <c r="A10" t="s">
        <v>14</v>
      </c>
      <c r="B10">
        <v>9</v>
      </c>
      <c r="C10" s="4">
        <v>252339.81000000003</v>
      </c>
      <c r="D10" s="4">
        <v>17853.89</v>
      </c>
      <c r="E10" s="4">
        <f t="shared" si="0"/>
        <v>234485.92000000004</v>
      </c>
      <c r="F10" s="3">
        <v>3.1592713398795262</v>
      </c>
      <c r="G10" s="4">
        <f t="shared" si="1"/>
        <v>74221.519703002719</v>
      </c>
      <c r="I10" s="4"/>
    </row>
    <row r="11" spans="1:9" x14ac:dyDescent="0.2">
      <c r="A11" t="s">
        <v>59</v>
      </c>
      <c r="B11">
        <v>10</v>
      </c>
      <c r="C11" s="4">
        <v>206920.72999999998</v>
      </c>
      <c r="D11" s="4">
        <v>17853.89</v>
      </c>
      <c r="E11" s="4">
        <f t="shared" si="0"/>
        <v>189066.83999999997</v>
      </c>
      <c r="F11" s="3">
        <v>2.5252524937256804</v>
      </c>
      <c r="G11" s="4">
        <f t="shared" si="1"/>
        <v>74870.469574730145</v>
      </c>
      <c r="I11" s="4"/>
    </row>
    <row r="12" spans="1:9" x14ac:dyDescent="0.2">
      <c r="A12" t="s">
        <v>38</v>
      </c>
      <c r="B12">
        <v>11</v>
      </c>
      <c r="C12">
        <v>232698.36000000002</v>
      </c>
      <c r="D12" s="4">
        <v>17853.89</v>
      </c>
      <c r="E12" s="4">
        <f t="shared" si="0"/>
        <v>214844.47000000003</v>
      </c>
      <c r="F12" s="3">
        <v>2.8929549113080966</v>
      </c>
      <c r="G12" s="4">
        <f t="shared" si="1"/>
        <v>74264.714309997522</v>
      </c>
      <c r="I12" s="4"/>
    </row>
    <row r="13" spans="1:9" x14ac:dyDescent="0.2">
      <c r="A13" t="s">
        <v>15</v>
      </c>
      <c r="B13">
        <v>12</v>
      </c>
      <c r="C13" s="4">
        <v>209233.11000000007</v>
      </c>
      <c r="D13" s="4">
        <v>17853.89</v>
      </c>
      <c r="E13" s="4">
        <f t="shared" si="0"/>
        <v>191379.22000000009</v>
      </c>
      <c r="F13" s="3">
        <v>2.6282063398795259</v>
      </c>
      <c r="G13" s="4">
        <f t="shared" si="1"/>
        <v>72817.425746249704</v>
      </c>
      <c r="I13" s="4"/>
    </row>
    <row r="14" spans="1:9" x14ac:dyDescent="0.2">
      <c r="A14" t="s">
        <v>16</v>
      </c>
      <c r="B14">
        <v>13</v>
      </c>
      <c r="C14" s="4">
        <v>458830.62</v>
      </c>
      <c r="D14" s="4">
        <v>17853.89</v>
      </c>
      <c r="E14" s="4">
        <f t="shared" si="0"/>
        <v>440976.73</v>
      </c>
      <c r="F14" s="3">
        <v>5.9845646007490902</v>
      </c>
      <c r="G14" s="4">
        <f t="shared" si="1"/>
        <v>73685.682989336055</v>
      </c>
      <c r="I14" s="4"/>
    </row>
    <row r="15" spans="1:9" x14ac:dyDescent="0.2">
      <c r="A15" t="s">
        <v>17</v>
      </c>
      <c r="B15">
        <v>14</v>
      </c>
      <c r="C15" s="4">
        <v>483395.71000000008</v>
      </c>
      <c r="D15" s="4">
        <v>17853.89</v>
      </c>
      <c r="E15" s="4">
        <f t="shared" si="0"/>
        <v>465541.82000000007</v>
      </c>
      <c r="F15" s="3">
        <v>6.3552920541652407</v>
      </c>
      <c r="G15" s="4">
        <f t="shared" si="1"/>
        <v>73252.624117389729</v>
      </c>
      <c r="I15" s="4"/>
    </row>
    <row r="16" spans="1:9" x14ac:dyDescent="0.2">
      <c r="A16" t="s">
        <v>43</v>
      </c>
      <c r="B16">
        <v>15</v>
      </c>
      <c r="C16" s="4">
        <v>196216.08000000005</v>
      </c>
      <c r="D16" s="4">
        <v>17853.89</v>
      </c>
      <c r="E16" s="4">
        <f t="shared" si="0"/>
        <v>178362.19000000006</v>
      </c>
      <c r="F16" s="3">
        <v>2.4002765724376656</v>
      </c>
      <c r="G16" s="4">
        <f t="shared" si="1"/>
        <v>74309.015905971013</v>
      </c>
      <c r="I16" s="4"/>
    </row>
    <row r="17" spans="1:9" x14ac:dyDescent="0.2">
      <c r="A17" t="s">
        <v>20</v>
      </c>
      <c r="B17">
        <v>16</v>
      </c>
      <c r="C17" s="4">
        <v>261932.33</v>
      </c>
      <c r="D17" s="4">
        <v>17853.89</v>
      </c>
      <c r="E17" s="4">
        <f t="shared" si="0"/>
        <v>244078.44</v>
      </c>
      <c r="F17" s="3">
        <v>3.2435374509906363</v>
      </c>
      <c r="G17" s="4">
        <f t="shared" si="1"/>
        <v>75250.692704489644</v>
      </c>
      <c r="I17" s="4"/>
    </row>
    <row r="18" spans="1:9" x14ac:dyDescent="0.2">
      <c r="A18" t="s">
        <v>21</v>
      </c>
      <c r="B18">
        <v>17</v>
      </c>
      <c r="C18" s="4">
        <v>269338.77</v>
      </c>
      <c r="D18" s="4">
        <v>17853.89</v>
      </c>
      <c r="E18" s="4">
        <f t="shared" si="0"/>
        <v>251484.88</v>
      </c>
      <c r="F18" s="3">
        <v>3.450864288597475</v>
      </c>
      <c r="G18" s="4">
        <f t="shared" si="1"/>
        <v>72875.911356748926</v>
      </c>
      <c r="I18" s="4"/>
    </row>
    <row r="19" spans="1:9" x14ac:dyDescent="0.2">
      <c r="A19" t="s">
        <v>22</v>
      </c>
      <c r="B19">
        <v>18</v>
      </c>
      <c r="C19" s="4">
        <v>353508.27</v>
      </c>
      <c r="D19" s="4">
        <v>17853.89</v>
      </c>
      <c r="E19" s="4">
        <f t="shared" si="0"/>
        <v>335654.38</v>
      </c>
      <c r="F19" s="3">
        <v>4.4964063398795258</v>
      </c>
      <c r="G19" s="4">
        <f t="shared" si="1"/>
        <v>74649.476632708727</v>
      </c>
      <c r="I19" s="4"/>
    </row>
    <row r="20" spans="1:9" x14ac:dyDescent="0.2">
      <c r="A20" t="s">
        <v>23</v>
      </c>
      <c r="B20">
        <v>19</v>
      </c>
      <c r="C20" s="4">
        <v>238308.78</v>
      </c>
      <c r="D20" s="4">
        <v>17853.89</v>
      </c>
      <c r="E20" s="4">
        <f t="shared" si="0"/>
        <v>220454.89</v>
      </c>
      <c r="F20" s="3">
        <v>2.9560363398795255</v>
      </c>
      <c r="G20" s="4">
        <f t="shared" si="1"/>
        <v>74577.868690540097</v>
      </c>
      <c r="I20" s="4"/>
    </row>
    <row r="21" spans="1:9" x14ac:dyDescent="0.2">
      <c r="A21" t="s">
        <v>60</v>
      </c>
      <c r="B21">
        <v>20</v>
      </c>
      <c r="C21" s="4">
        <v>354661.14</v>
      </c>
      <c r="D21" s="4">
        <v>17853.89</v>
      </c>
      <c r="E21" s="4">
        <f t="shared" si="0"/>
        <v>336807.25</v>
      </c>
      <c r="F21" s="3">
        <v>4.6583999569007997</v>
      </c>
      <c r="G21" s="4">
        <f t="shared" si="1"/>
        <v>72301.058972204584</v>
      </c>
      <c r="I21" s="4"/>
    </row>
    <row r="22" spans="1:9" x14ac:dyDescent="0.2">
      <c r="C22" s="4"/>
      <c r="D22" s="4"/>
      <c r="E22" s="4"/>
      <c r="F22" s="3"/>
      <c r="G22" s="4"/>
      <c r="I22" s="4"/>
    </row>
    <row r="23" spans="1:9" x14ac:dyDescent="0.2">
      <c r="C23" s="4">
        <f>AVERAGE(C2:C21)</f>
        <v>280064.01449999993</v>
      </c>
      <c r="D23" s="4"/>
      <c r="E23" s="7">
        <f t="shared" ref="E23" si="2">AVERAGE(E2:E21)</f>
        <v>262210.12449999998</v>
      </c>
      <c r="F23" t="s">
        <v>4</v>
      </c>
      <c r="G23" s="7">
        <f>AVERAGE(G2:G18)</f>
        <v>73551.317460735459</v>
      </c>
      <c r="H23" s="4"/>
      <c r="I23" s="4" t="e">
        <f>AVERAGE(I2:I18)</f>
        <v>#DIV/0!</v>
      </c>
    </row>
    <row r="24" spans="1:9" x14ac:dyDescent="0.2">
      <c r="C24" s="4">
        <f>_xlfn.STDEV.S(C2:C21)</f>
        <v>83902.049942946032</v>
      </c>
      <c r="D24" s="4"/>
      <c r="E24" s="4">
        <f t="shared" ref="E24" si="3">_xlfn.STDEV.S(E2:E21)</f>
        <v>83902.049942946032</v>
      </c>
      <c r="F24" t="s">
        <v>5</v>
      </c>
      <c r="G24" s="4">
        <f>_xlfn.STDEV.S(G2:G18)</f>
        <v>821.60011306662625</v>
      </c>
      <c r="H24" s="4"/>
      <c r="I24" s="4" t="e">
        <f>_xlfn.STDEV.S(I2:I18)</f>
        <v>#DIV/0!</v>
      </c>
    </row>
    <row r="25" spans="1:9" x14ac:dyDescent="0.2">
      <c r="C25" s="4">
        <f>C24/SQRT(COUNT(C2:C21))</f>
        <v>18761.068712400967</v>
      </c>
      <c r="D25" s="4"/>
      <c r="E25" s="7">
        <f t="shared" ref="E25" si="4">E24/SQRT(COUNT(E2:E21))</f>
        <v>18761.068712400967</v>
      </c>
      <c r="F25" t="s">
        <v>6</v>
      </c>
      <c r="G25" s="7">
        <f>G24/SQRT(COUNT(G2:G18))</f>
        <v>199.26729695253604</v>
      </c>
      <c r="H25" s="4"/>
      <c r="I25" s="4" t="e">
        <f>I24/SQRT(COUNT(I2:I18))</f>
        <v>#DIV/0!</v>
      </c>
    </row>
    <row r="26" spans="1:9" x14ac:dyDescent="0.2">
      <c r="G26" s="8"/>
    </row>
    <row r="27" spans="1:9" ht="32" x14ac:dyDescent="0.2">
      <c r="A27" s="6" t="s">
        <v>28</v>
      </c>
      <c r="B27" t="s">
        <v>29</v>
      </c>
    </row>
    <row r="28" spans="1:9" x14ac:dyDescent="0.2">
      <c r="A28" t="s">
        <v>37</v>
      </c>
      <c r="B28">
        <v>3552.8</v>
      </c>
    </row>
    <row r="29" spans="1:9" x14ac:dyDescent="0.2">
      <c r="A29" t="s">
        <v>9</v>
      </c>
      <c r="B29">
        <v>33757.56</v>
      </c>
    </row>
    <row r="30" spans="1:9" x14ac:dyDescent="0.2">
      <c r="A30" t="s">
        <v>61</v>
      </c>
    </row>
    <row r="31" spans="1:9" x14ac:dyDescent="0.2">
      <c r="A31" t="s">
        <v>62</v>
      </c>
      <c r="B31">
        <v>2301.13</v>
      </c>
    </row>
    <row r="32" spans="1:9" x14ac:dyDescent="0.2">
      <c r="A32" t="s">
        <v>10</v>
      </c>
      <c r="B32">
        <v>72416.55</v>
      </c>
    </row>
    <row r="33" spans="1:4" x14ac:dyDescent="0.2">
      <c r="A33" t="s">
        <v>11</v>
      </c>
      <c r="D33" t="s">
        <v>63</v>
      </c>
    </row>
    <row r="34" spans="1:4" x14ac:dyDescent="0.2">
      <c r="A34" t="s">
        <v>59</v>
      </c>
      <c r="B34">
        <v>7925.7099999999991</v>
      </c>
    </row>
    <row r="35" spans="1:4" x14ac:dyDescent="0.2">
      <c r="A35" t="s">
        <v>38</v>
      </c>
      <c r="B35">
        <v>2435.17</v>
      </c>
    </row>
    <row r="36" spans="1:4" x14ac:dyDescent="0.2">
      <c r="A36" t="s">
        <v>15</v>
      </c>
      <c r="B36">
        <v>18683.190000000002</v>
      </c>
    </row>
    <row r="37" spans="1:4" x14ac:dyDescent="0.2">
      <c r="A37" t="s">
        <v>16</v>
      </c>
      <c r="B37">
        <v>3001.5499999999997</v>
      </c>
    </row>
    <row r="38" spans="1:4" x14ac:dyDescent="0.2">
      <c r="A38" t="s">
        <v>17</v>
      </c>
      <c r="B38">
        <v>16611.349999999999</v>
      </c>
    </row>
    <row r="40" spans="1:4" x14ac:dyDescent="0.2">
      <c r="B40">
        <f>AVERAGE(B28:B38)</f>
        <v>17853.89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E276-209B-450B-B847-740F9B84716F}">
  <dimension ref="A1:I30"/>
  <sheetViews>
    <sheetView workbookViewId="0">
      <selection activeCell="E20" sqref="E20"/>
    </sheetView>
  </sheetViews>
  <sheetFormatPr baseColWidth="10" defaultColWidth="8.83203125" defaultRowHeight="15" x14ac:dyDescent="0.2"/>
  <cols>
    <col min="1" max="1" width="12" customWidth="1"/>
    <col min="3" max="7" width="13.1640625" customWidth="1"/>
    <col min="9" max="9" width="12.5" customWidth="1"/>
  </cols>
  <sheetData>
    <row r="1" spans="1:9" ht="46.5" customHeight="1" x14ac:dyDescent="0.2">
      <c r="A1" s="1" t="s">
        <v>0</v>
      </c>
      <c r="B1" s="1" t="s">
        <v>1</v>
      </c>
      <c r="C1" s="2" t="s">
        <v>2</v>
      </c>
      <c r="D1" s="2" t="s">
        <v>26</v>
      </c>
      <c r="E1" s="2" t="s">
        <v>27</v>
      </c>
      <c r="F1" s="2" t="s">
        <v>25</v>
      </c>
      <c r="G1" s="2" t="s">
        <v>3</v>
      </c>
      <c r="I1" s="2" t="s">
        <v>8</v>
      </c>
    </row>
    <row r="2" spans="1:9" x14ac:dyDescent="0.2">
      <c r="A2" s="1" t="s">
        <v>9</v>
      </c>
      <c r="B2" s="1">
        <v>1</v>
      </c>
      <c r="C2" s="4">
        <v>48813.35</v>
      </c>
      <c r="D2" s="4">
        <v>12563.394999999999</v>
      </c>
      <c r="E2" s="4">
        <f>C2-D2</f>
        <v>36249.955000000002</v>
      </c>
      <c r="F2" s="3">
        <v>0.47900305458675674</v>
      </c>
      <c r="G2" s="4">
        <f>E2/F2</f>
        <v>75677.920324064311</v>
      </c>
      <c r="I2" s="4"/>
    </row>
    <row r="3" spans="1:9" x14ac:dyDescent="0.2">
      <c r="A3" t="s">
        <v>39</v>
      </c>
      <c r="B3">
        <v>2</v>
      </c>
      <c r="C3" s="5">
        <v>56789.599999999999</v>
      </c>
      <c r="D3" s="4">
        <v>12563.394999999999</v>
      </c>
      <c r="E3" s="4">
        <f t="shared" ref="E3:E16" si="0">C3-D3</f>
        <v>44226.205000000002</v>
      </c>
      <c r="F3" s="3">
        <v>0.58318925657822207</v>
      </c>
      <c r="G3" s="4">
        <f t="shared" ref="G3:G16" si="1">E3/F3</f>
        <v>75835.081838596976</v>
      </c>
      <c r="I3" s="4"/>
    </row>
    <row r="4" spans="1:9" x14ac:dyDescent="0.2">
      <c r="A4" t="s">
        <v>10</v>
      </c>
      <c r="B4" s="1">
        <v>3</v>
      </c>
      <c r="C4" s="4">
        <v>38368.44</v>
      </c>
      <c r="D4" s="4">
        <v>12563.394999999999</v>
      </c>
      <c r="E4" s="4">
        <f t="shared" si="0"/>
        <v>25805.045000000006</v>
      </c>
      <c r="F4" s="3">
        <v>0.33854433090254632</v>
      </c>
      <c r="G4" s="4">
        <f t="shared" si="1"/>
        <v>76223.533063468334</v>
      </c>
      <c r="I4" s="4"/>
    </row>
    <row r="5" spans="1:9" x14ac:dyDescent="0.2">
      <c r="A5" t="s">
        <v>57</v>
      </c>
      <c r="B5">
        <v>4</v>
      </c>
      <c r="C5" s="4">
        <v>111147.28000000001</v>
      </c>
      <c r="D5" s="4">
        <v>12563.394999999999</v>
      </c>
      <c r="E5" s="4">
        <f t="shared" si="0"/>
        <v>98583.885000000009</v>
      </c>
      <c r="F5" s="3">
        <v>1.3328135809025465</v>
      </c>
      <c r="G5" s="4">
        <f t="shared" si="1"/>
        <v>73966.747047431476</v>
      </c>
      <c r="I5" s="4"/>
    </row>
    <row r="6" spans="1:9" x14ac:dyDescent="0.2">
      <c r="A6" t="s">
        <v>58</v>
      </c>
      <c r="B6" s="1">
        <v>5</v>
      </c>
      <c r="C6" s="4">
        <v>56503.35</v>
      </c>
      <c r="D6" s="4">
        <v>12563.394999999999</v>
      </c>
      <c r="E6" s="4">
        <f t="shared" si="0"/>
        <v>43939.955000000002</v>
      </c>
      <c r="F6" s="3">
        <v>0.58240831774465163</v>
      </c>
      <c r="G6" s="4">
        <f t="shared" si="1"/>
        <v>75445.27380748163</v>
      </c>
      <c r="I6" s="4"/>
    </row>
    <row r="7" spans="1:9" x14ac:dyDescent="0.2">
      <c r="A7" t="s">
        <v>12</v>
      </c>
      <c r="B7">
        <v>6</v>
      </c>
      <c r="C7" s="4">
        <v>78626.819999999992</v>
      </c>
      <c r="D7" s="4">
        <v>12563.394999999999</v>
      </c>
      <c r="E7" s="4">
        <f t="shared" si="0"/>
        <v>66063.424999999988</v>
      </c>
      <c r="F7" s="3">
        <v>0.9010083177446514</v>
      </c>
      <c r="G7" s="4">
        <f t="shared" si="1"/>
        <v>73321.659410831955</v>
      </c>
      <c r="I7" s="4"/>
    </row>
    <row r="8" spans="1:9" x14ac:dyDescent="0.2">
      <c r="A8" t="s">
        <v>40</v>
      </c>
      <c r="B8" s="1">
        <v>7</v>
      </c>
      <c r="C8" s="4">
        <v>40153.420000000006</v>
      </c>
      <c r="D8" s="4">
        <v>12563.394999999999</v>
      </c>
      <c r="E8" s="4">
        <f t="shared" si="0"/>
        <v>27590.025000000009</v>
      </c>
      <c r="F8" s="3">
        <v>0.35944274756921291</v>
      </c>
      <c r="G8" s="4">
        <f t="shared" si="1"/>
        <v>76757.773488495222</v>
      </c>
      <c r="I8" s="4"/>
    </row>
    <row r="9" spans="1:9" x14ac:dyDescent="0.2">
      <c r="A9" t="s">
        <v>13</v>
      </c>
      <c r="B9">
        <v>8</v>
      </c>
      <c r="C9" s="4">
        <v>76034.900000000023</v>
      </c>
      <c r="D9" s="4">
        <v>12563.394999999999</v>
      </c>
      <c r="E9" s="4">
        <f t="shared" si="0"/>
        <v>63471.505000000026</v>
      </c>
      <c r="F9" s="3">
        <v>0.85629252827096736</v>
      </c>
      <c r="G9" s="4">
        <f t="shared" si="1"/>
        <v>74123.623533376143</v>
      </c>
      <c r="I9" s="4"/>
    </row>
    <row r="10" spans="1:9" x14ac:dyDescent="0.2">
      <c r="A10" t="s">
        <v>59</v>
      </c>
      <c r="B10" s="1">
        <v>9</v>
      </c>
      <c r="C10" s="4">
        <v>101422</v>
      </c>
      <c r="D10" s="4">
        <v>12563.394999999999</v>
      </c>
      <c r="E10" s="4">
        <f t="shared" si="0"/>
        <v>88858.604999999996</v>
      </c>
      <c r="F10" s="3">
        <v>1.1840519142358794</v>
      </c>
      <c r="G10" s="4">
        <f t="shared" si="1"/>
        <v>75046.206953978326</v>
      </c>
      <c r="I10" s="4"/>
    </row>
    <row r="11" spans="1:9" x14ac:dyDescent="0.2">
      <c r="A11" t="s">
        <v>64</v>
      </c>
      <c r="B11" s="1">
        <v>10</v>
      </c>
      <c r="C11" s="4">
        <v>29077.829999999998</v>
      </c>
      <c r="D11" s="4">
        <v>12563.394999999999</v>
      </c>
      <c r="E11" s="4">
        <f t="shared" si="0"/>
        <v>16514.434999999998</v>
      </c>
      <c r="F11" s="3">
        <v>0.23521358090254632</v>
      </c>
      <c r="G11" s="4">
        <f t="shared" si="1"/>
        <v>70210.380440754641</v>
      </c>
      <c r="I11" s="4"/>
    </row>
    <row r="12" spans="1:9" x14ac:dyDescent="0.2">
      <c r="A12" t="s">
        <v>15</v>
      </c>
      <c r="B12">
        <v>11</v>
      </c>
      <c r="C12" s="4">
        <v>118371.12</v>
      </c>
      <c r="D12" s="4">
        <v>12563.394999999999</v>
      </c>
      <c r="E12" s="4">
        <f t="shared" si="0"/>
        <v>105807.72499999999</v>
      </c>
      <c r="F12" s="3">
        <v>1.3970741072183357</v>
      </c>
      <c r="G12" s="4">
        <f t="shared" si="1"/>
        <v>75735.227253384553</v>
      </c>
      <c r="I12" s="4"/>
    </row>
    <row r="13" spans="1:9" x14ac:dyDescent="0.2">
      <c r="A13" t="s">
        <v>43</v>
      </c>
      <c r="B13" s="1">
        <v>12</v>
      </c>
      <c r="C13" s="4">
        <v>147075.93</v>
      </c>
      <c r="D13" s="4">
        <v>12563.394999999999</v>
      </c>
      <c r="E13" s="4">
        <f t="shared" si="0"/>
        <v>134512.535</v>
      </c>
      <c r="F13" s="3">
        <v>1.7814810809025465</v>
      </c>
      <c r="G13" s="4">
        <f t="shared" si="1"/>
        <v>75506.013755617489</v>
      </c>
      <c r="I13" s="4"/>
    </row>
    <row r="14" spans="1:9" x14ac:dyDescent="0.2">
      <c r="A14" t="s">
        <v>20</v>
      </c>
      <c r="B14" s="1">
        <v>13</v>
      </c>
      <c r="C14" s="4">
        <v>48433.380000000005</v>
      </c>
      <c r="D14" s="4">
        <v>12563.394999999999</v>
      </c>
      <c r="E14" s="4">
        <f t="shared" si="0"/>
        <v>35869.985000000008</v>
      </c>
      <c r="F14" s="3">
        <v>0.47743535868032394</v>
      </c>
      <c r="G14" s="4">
        <f t="shared" si="1"/>
        <v>75130.558195664446</v>
      </c>
      <c r="I14" s="4"/>
    </row>
    <row r="15" spans="1:9" x14ac:dyDescent="0.2">
      <c r="A15" t="s">
        <v>23</v>
      </c>
      <c r="B15" s="1">
        <v>14</v>
      </c>
      <c r="C15" s="4">
        <v>46933.48</v>
      </c>
      <c r="D15" s="4">
        <v>12563.394999999999</v>
      </c>
      <c r="E15" s="4">
        <f t="shared" si="0"/>
        <v>34370.085000000006</v>
      </c>
      <c r="F15" s="3">
        <v>0.47963509033650853</v>
      </c>
      <c r="G15" s="4">
        <f t="shared" si="1"/>
        <v>71658.820825403338</v>
      </c>
      <c r="I15" s="4"/>
    </row>
    <row r="16" spans="1:9" x14ac:dyDescent="0.2">
      <c r="A16" t="s">
        <v>60</v>
      </c>
      <c r="B16" s="1">
        <v>15</v>
      </c>
      <c r="C16" s="4">
        <v>96837.450000000012</v>
      </c>
      <c r="D16" s="4">
        <v>12563.394999999999</v>
      </c>
      <c r="E16" s="4">
        <f t="shared" si="0"/>
        <v>84274.055000000008</v>
      </c>
      <c r="F16" s="3">
        <v>1.1222878666168319</v>
      </c>
      <c r="G16" s="4">
        <f t="shared" si="1"/>
        <v>75091.300108274809</v>
      </c>
      <c r="I16" s="4"/>
    </row>
    <row r="17" spans="1:9" x14ac:dyDescent="0.2">
      <c r="D17" s="4"/>
      <c r="I17" s="4"/>
    </row>
    <row r="18" spans="1:9" x14ac:dyDescent="0.2">
      <c r="C18" s="4">
        <f>AVERAGE(C2:C16)</f>
        <v>72972.556666666671</v>
      </c>
      <c r="D18" s="4"/>
      <c r="E18" s="7">
        <f t="shared" ref="E18" si="2">AVERAGE(E2:E16)</f>
        <v>60409.161666666667</v>
      </c>
      <c r="F18" t="s">
        <v>4</v>
      </c>
      <c r="G18" s="7">
        <f>AVERAGE(G2:G13)</f>
        <v>74820.786743123434</v>
      </c>
      <c r="H18" s="4"/>
      <c r="I18" s="4" t="e">
        <f t="shared" ref="I18" si="3">AVERAGE(I2:I13)</f>
        <v>#DIV/0!</v>
      </c>
    </row>
    <row r="19" spans="1:9" x14ac:dyDescent="0.2">
      <c r="C19" s="4">
        <f>_xlfn.STDEV.S(C2:C16)</f>
        <v>34875.476516532704</v>
      </c>
      <c r="D19" s="4"/>
      <c r="E19" s="4">
        <f t="shared" ref="E19" si="4">_xlfn.STDEV.S(E2:E16)</f>
        <v>34875.476516532697</v>
      </c>
      <c r="F19" t="s">
        <v>5</v>
      </c>
      <c r="G19" s="4">
        <f>_xlfn.STDEV.S(G2:G13)</f>
        <v>1756.7602581799181</v>
      </c>
      <c r="H19" s="4"/>
      <c r="I19" s="4" t="e">
        <f t="shared" ref="I19" si="5">_xlfn.STDEV.S(I2:I13)</f>
        <v>#DIV/0!</v>
      </c>
    </row>
    <row r="20" spans="1:9" x14ac:dyDescent="0.2">
      <c r="C20" s="4">
        <f>C19/SQRT(COUNT(C2:C16))</f>
        <v>9004.8093159719338</v>
      </c>
      <c r="D20" s="4"/>
      <c r="E20" s="7">
        <f t="shared" ref="E20" si="6">E19/SQRT(COUNT(E2:E16))</f>
        <v>9004.8093159719319</v>
      </c>
      <c r="F20" t="s">
        <v>6</v>
      </c>
      <c r="G20" s="7">
        <f>G19/SQRT(COUNT(G2:G13))</f>
        <v>507.1330039809061</v>
      </c>
      <c r="H20" s="4"/>
      <c r="I20" s="4" t="e">
        <f t="shared" ref="I20" si="7">I19/SQRT(COUNT(I2:I13))</f>
        <v>#DIV/0!</v>
      </c>
    </row>
    <row r="22" spans="1:9" ht="32" x14ac:dyDescent="0.2">
      <c r="A22" s="6" t="s">
        <v>28</v>
      </c>
      <c r="B22" t="s">
        <v>29</v>
      </c>
    </row>
    <row r="23" spans="1:9" x14ac:dyDescent="0.2">
      <c r="A23" t="s">
        <v>37</v>
      </c>
      <c r="B23">
        <v>1350.55</v>
      </c>
    </row>
    <row r="24" spans="1:9" x14ac:dyDescent="0.2">
      <c r="A24" t="s">
        <v>9</v>
      </c>
      <c r="B24">
        <v>19490.159999999996</v>
      </c>
    </row>
    <row r="25" spans="1:9" x14ac:dyDescent="0.2">
      <c r="A25" t="s">
        <v>39</v>
      </c>
      <c r="B25">
        <v>2175.02</v>
      </c>
    </row>
    <row r="26" spans="1:9" x14ac:dyDescent="0.2">
      <c r="A26" t="s">
        <v>59</v>
      </c>
      <c r="B26">
        <v>25785.09</v>
      </c>
    </row>
    <row r="27" spans="1:9" x14ac:dyDescent="0.2">
      <c r="A27" t="s">
        <v>38</v>
      </c>
      <c r="B27">
        <v>8581.9399999999987</v>
      </c>
    </row>
    <row r="28" spans="1:9" x14ac:dyDescent="0.2">
      <c r="A28" t="s">
        <v>15</v>
      </c>
      <c r="B28">
        <v>17997.61</v>
      </c>
    </row>
    <row r="30" spans="1:9" x14ac:dyDescent="0.2">
      <c r="B30">
        <f>AVERAGE(B23:B28)</f>
        <v>12563.394999999999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D5DA-9006-496A-B81E-7848293A6393}">
  <dimension ref="A1:I34"/>
  <sheetViews>
    <sheetView topLeftCell="A4" zoomScale="83" zoomScaleNormal="115" workbookViewId="0">
      <selection activeCell="E22" sqref="E22"/>
    </sheetView>
  </sheetViews>
  <sheetFormatPr baseColWidth="10" defaultColWidth="8.83203125" defaultRowHeight="15" x14ac:dyDescent="0.2"/>
  <cols>
    <col min="1" max="1" width="11" customWidth="1"/>
    <col min="3" max="7" width="13.5" customWidth="1"/>
    <col min="9" max="9" width="13.5" customWidth="1"/>
  </cols>
  <sheetData>
    <row r="1" spans="1:9" ht="48" x14ac:dyDescent="0.2">
      <c r="A1" s="1" t="s">
        <v>0</v>
      </c>
      <c r="B1" s="1" t="s">
        <v>1</v>
      </c>
      <c r="C1" s="2" t="s">
        <v>2</v>
      </c>
      <c r="D1" s="2" t="s">
        <v>26</v>
      </c>
      <c r="E1" s="2" t="s">
        <v>27</v>
      </c>
      <c r="F1" s="2" t="s">
        <v>25</v>
      </c>
      <c r="G1" s="2" t="s">
        <v>3</v>
      </c>
      <c r="I1" s="2" t="s">
        <v>8</v>
      </c>
    </row>
    <row r="2" spans="1:9" x14ac:dyDescent="0.2">
      <c r="A2" t="s">
        <v>37</v>
      </c>
      <c r="B2">
        <v>1</v>
      </c>
      <c r="C2" s="4">
        <v>23504.73</v>
      </c>
      <c r="D2" s="4">
        <v>19930.710000000003</v>
      </c>
      <c r="E2" s="4">
        <f>C2-D2</f>
        <v>3574.0199999999968</v>
      </c>
      <c r="F2" s="3">
        <v>4.3916740335816218E-2</v>
      </c>
      <c r="G2" s="4">
        <f>E2/F2</f>
        <v>81381.723066664199</v>
      </c>
      <c r="I2" s="4"/>
    </row>
    <row r="3" spans="1:9" x14ac:dyDescent="0.2">
      <c r="A3" t="s">
        <v>9</v>
      </c>
      <c r="B3">
        <v>2</v>
      </c>
      <c r="C3" s="4">
        <v>20703.719999999998</v>
      </c>
      <c r="D3" s="4">
        <v>19930.710000000003</v>
      </c>
      <c r="E3" s="4">
        <f t="shared" ref="E3:E19" si="0">C3-D3</f>
        <v>773.00999999999476</v>
      </c>
      <c r="F3" s="3">
        <v>1.0466856885932796E-2</v>
      </c>
      <c r="G3" s="4">
        <f t="shared" ref="G3:G19" si="1">E3/F3</f>
        <v>73853.116405833498</v>
      </c>
      <c r="I3" s="4"/>
    </row>
    <row r="4" spans="1:9" x14ac:dyDescent="0.2">
      <c r="A4" t="s">
        <v>61</v>
      </c>
      <c r="B4">
        <v>3</v>
      </c>
      <c r="C4" s="4">
        <v>538.42999999999995</v>
      </c>
      <c r="D4" s="4">
        <v>19930.710000000003</v>
      </c>
      <c r="E4" s="4"/>
      <c r="F4" s="3">
        <v>-0.12257146605239014</v>
      </c>
      <c r="G4" s="4"/>
      <c r="I4" s="4"/>
    </row>
    <row r="5" spans="1:9" x14ac:dyDescent="0.2">
      <c r="A5" t="s">
        <v>10</v>
      </c>
      <c r="B5">
        <v>4</v>
      </c>
      <c r="C5" s="4">
        <v>64131.629999999968</v>
      </c>
      <c r="D5" s="4">
        <v>19930.710000000003</v>
      </c>
      <c r="E5" s="4">
        <f t="shared" si="0"/>
        <v>44200.919999999969</v>
      </c>
      <c r="F5" s="3">
        <v>0.60750044662952263</v>
      </c>
      <c r="G5" s="4">
        <f t="shared" si="1"/>
        <v>72758.662557750198</v>
      </c>
      <c r="I5" s="4"/>
    </row>
    <row r="6" spans="1:9" x14ac:dyDescent="0.2">
      <c r="A6" t="s">
        <v>19</v>
      </c>
      <c r="B6">
        <v>5</v>
      </c>
      <c r="C6" s="4">
        <v>25055.670000000002</v>
      </c>
      <c r="D6" s="4">
        <v>19930.710000000003</v>
      </c>
      <c r="E6" s="4">
        <f t="shared" si="0"/>
        <v>5124.9599999999991</v>
      </c>
      <c r="F6" s="3">
        <v>6.5692497911573777E-2</v>
      </c>
      <c r="G6" s="4">
        <f t="shared" si="1"/>
        <v>78014.387683940964</v>
      </c>
      <c r="I6" s="4"/>
    </row>
    <row r="7" spans="1:9" x14ac:dyDescent="0.2">
      <c r="A7" t="s">
        <v>57</v>
      </c>
      <c r="B7">
        <v>6</v>
      </c>
      <c r="C7" s="4">
        <v>17601.189999999999</v>
      </c>
      <c r="D7" s="4">
        <v>19930.710000000003</v>
      </c>
      <c r="E7" s="4"/>
      <c r="F7" s="3">
        <v>-3.1621537176145437E-2</v>
      </c>
      <c r="G7" s="4"/>
      <c r="I7" s="4"/>
    </row>
    <row r="8" spans="1:9" x14ac:dyDescent="0.2">
      <c r="A8" t="s">
        <v>58</v>
      </c>
      <c r="B8">
        <v>7</v>
      </c>
      <c r="C8" s="4">
        <v>26336.430000000004</v>
      </c>
      <c r="D8" s="4">
        <v>19930.710000000003</v>
      </c>
      <c r="E8" s="4">
        <f t="shared" si="0"/>
        <v>6405.7200000000012</v>
      </c>
      <c r="F8" s="3">
        <v>8.6903762279389896E-2</v>
      </c>
      <c r="G8" s="4">
        <f t="shared" si="1"/>
        <v>73710.502652417184</v>
      </c>
      <c r="I8" s="4"/>
    </row>
    <row r="9" spans="1:9" x14ac:dyDescent="0.2">
      <c r="A9" t="s">
        <v>12</v>
      </c>
      <c r="B9">
        <v>8</v>
      </c>
      <c r="C9" s="4">
        <v>20645.669999999998</v>
      </c>
      <c r="D9" s="4">
        <v>19930.710000000003</v>
      </c>
      <c r="E9" s="4">
        <f t="shared" si="0"/>
        <v>714.95999999999549</v>
      </c>
      <c r="F9" s="3">
        <v>1.0520376699452605E-2</v>
      </c>
      <c r="G9" s="4">
        <f t="shared" si="1"/>
        <v>67959.543695540502</v>
      </c>
      <c r="I9" s="4"/>
    </row>
    <row r="10" spans="1:9" x14ac:dyDescent="0.2">
      <c r="A10" t="s">
        <v>40</v>
      </c>
      <c r="B10">
        <v>9</v>
      </c>
      <c r="C10" s="4">
        <v>74427.210000000006</v>
      </c>
      <c r="D10" s="4">
        <v>19930.710000000003</v>
      </c>
      <c r="E10" s="4">
        <f t="shared" si="0"/>
        <v>54496.5</v>
      </c>
      <c r="F10" s="3">
        <v>0.75282583124490721</v>
      </c>
      <c r="G10" s="4">
        <f t="shared" si="1"/>
        <v>72389.253580581979</v>
      </c>
      <c r="I10" s="4"/>
    </row>
    <row r="11" spans="1:9" x14ac:dyDescent="0.2">
      <c r="A11" t="s">
        <v>38</v>
      </c>
      <c r="B11">
        <v>10</v>
      </c>
      <c r="C11" s="4">
        <v>8949.86</v>
      </c>
      <c r="D11" s="4">
        <v>19930.710000000003</v>
      </c>
      <c r="E11" s="4"/>
      <c r="F11" s="3">
        <v>-0.15356005110803406</v>
      </c>
      <c r="G11" s="4"/>
      <c r="I11" s="4"/>
    </row>
    <row r="12" spans="1:9" x14ac:dyDescent="0.2">
      <c r="A12" t="s">
        <v>15</v>
      </c>
      <c r="B12">
        <v>11</v>
      </c>
      <c r="C12" s="4">
        <v>110978.16000000003</v>
      </c>
      <c r="D12" s="4">
        <v>19930.710000000003</v>
      </c>
      <c r="E12" s="4">
        <f t="shared" si="0"/>
        <v>91047.450000000026</v>
      </c>
      <c r="F12" s="3">
        <v>1.2393811253625544</v>
      </c>
      <c r="G12" s="4">
        <f t="shared" si="1"/>
        <v>73462.027246353333</v>
      </c>
      <c r="I12" s="4"/>
    </row>
    <row r="13" spans="1:9" x14ac:dyDescent="0.2">
      <c r="A13" t="s">
        <v>16</v>
      </c>
      <c r="B13">
        <v>12</v>
      </c>
      <c r="C13" s="4">
        <v>120334.07999999999</v>
      </c>
      <c r="D13" s="4">
        <v>19930.710000000003</v>
      </c>
      <c r="E13" s="4">
        <f t="shared" si="0"/>
        <v>100403.36999999998</v>
      </c>
      <c r="F13" s="3">
        <v>1.2670266645782406</v>
      </c>
      <c r="G13" s="4">
        <f t="shared" si="1"/>
        <v>79243.296772622838</v>
      </c>
      <c r="I13" s="4"/>
    </row>
    <row r="14" spans="1:9" x14ac:dyDescent="0.2">
      <c r="A14" t="s">
        <v>65</v>
      </c>
      <c r="B14">
        <v>13</v>
      </c>
      <c r="C14" s="4">
        <v>37268.530000000006</v>
      </c>
      <c r="D14" s="4">
        <v>19930.710000000003</v>
      </c>
      <c r="E14" s="4">
        <f t="shared" si="0"/>
        <v>17337.820000000003</v>
      </c>
      <c r="F14" s="3">
        <v>0.24010222013379595</v>
      </c>
      <c r="G14" s="4">
        <f t="shared" si="1"/>
        <v>72210.16111528904</v>
      </c>
      <c r="I14" s="4"/>
    </row>
    <row r="15" spans="1:9" x14ac:dyDescent="0.2">
      <c r="A15" t="s">
        <v>66</v>
      </c>
      <c r="B15">
        <v>14</v>
      </c>
      <c r="C15" s="4">
        <v>20949.149999999998</v>
      </c>
      <c r="D15" s="4">
        <v>19930.710000000003</v>
      </c>
      <c r="E15" s="4">
        <f t="shared" si="0"/>
        <v>1018.4399999999951</v>
      </c>
      <c r="F15" s="3">
        <v>1.685777568935154E-2</v>
      </c>
      <c r="G15" s="4">
        <f t="shared" si="1"/>
        <v>60413.664220440871</v>
      </c>
      <c r="I15" s="4"/>
    </row>
    <row r="16" spans="1:9" x14ac:dyDescent="0.2">
      <c r="A16" t="s">
        <v>67</v>
      </c>
      <c r="B16">
        <v>15</v>
      </c>
      <c r="C16" s="4">
        <v>41855.67</v>
      </c>
      <c r="D16" s="4">
        <v>19930.710000000003</v>
      </c>
      <c r="E16" s="4">
        <f t="shared" si="0"/>
        <v>21924.959999999995</v>
      </c>
      <c r="F16" s="3">
        <v>0.30149444235601824</v>
      </c>
      <c r="G16" s="4">
        <f t="shared" si="1"/>
        <v>72720.94247797117</v>
      </c>
      <c r="I16" s="4"/>
    </row>
    <row r="17" spans="1:9" x14ac:dyDescent="0.2">
      <c r="A17" t="s">
        <v>43</v>
      </c>
      <c r="B17">
        <v>16</v>
      </c>
      <c r="C17" s="4">
        <v>56873.44000000001</v>
      </c>
      <c r="D17" s="4">
        <v>19930.710000000003</v>
      </c>
      <c r="E17" s="4">
        <f t="shared" si="0"/>
        <v>36942.73000000001</v>
      </c>
      <c r="F17" s="3">
        <v>0.49755067972975547</v>
      </c>
      <c r="G17" s="4">
        <f t="shared" si="1"/>
        <v>74249.180043458982</v>
      </c>
      <c r="I17" s="4"/>
    </row>
    <row r="18" spans="1:9" x14ac:dyDescent="0.2">
      <c r="A18" t="s">
        <v>44</v>
      </c>
      <c r="B18">
        <v>17</v>
      </c>
      <c r="C18" s="4">
        <v>18340.45</v>
      </c>
      <c r="D18" s="4">
        <v>19930.710000000003</v>
      </c>
      <c r="E18" s="4"/>
      <c r="F18" s="3">
        <v>-2.5003502088426194E-2</v>
      </c>
      <c r="G18" s="4"/>
      <c r="I18" s="4"/>
    </row>
    <row r="19" spans="1:9" x14ac:dyDescent="0.2">
      <c r="A19" t="s">
        <v>20</v>
      </c>
      <c r="B19">
        <v>18</v>
      </c>
      <c r="C19" s="4">
        <v>38418.390000000007</v>
      </c>
      <c r="D19" s="4">
        <v>19930.710000000003</v>
      </c>
      <c r="E19" s="4">
        <f t="shared" si="0"/>
        <v>18487.680000000004</v>
      </c>
      <c r="F19" s="3">
        <v>0.24799983124490715</v>
      </c>
      <c r="G19" s="4">
        <f t="shared" si="1"/>
        <v>74547.147500850013</v>
      </c>
      <c r="I19" s="4"/>
    </row>
    <row r="20" spans="1:9" x14ac:dyDescent="0.2">
      <c r="A20" t="s">
        <v>22</v>
      </c>
      <c r="B20">
        <v>19</v>
      </c>
      <c r="C20" s="4">
        <v>15817.779999999999</v>
      </c>
      <c r="D20" s="4">
        <v>19930.710000000003</v>
      </c>
      <c r="E20" s="4"/>
      <c r="F20">
        <v>-6.1625933460975196E-2</v>
      </c>
      <c r="I20" s="4"/>
    </row>
    <row r="21" spans="1:9" x14ac:dyDescent="0.2">
      <c r="C21" s="4"/>
      <c r="D21" s="4"/>
      <c r="E21" s="4"/>
      <c r="I21" s="4"/>
    </row>
    <row r="22" spans="1:9" x14ac:dyDescent="0.2">
      <c r="C22" s="4">
        <f>AVERAGE(C2:C20)</f>
        <v>39091.062631578956</v>
      </c>
      <c r="D22" s="4"/>
      <c r="E22" s="7">
        <f t="shared" ref="E22" si="2">AVERAGE(E2:E20)</f>
        <v>28746.609999999997</v>
      </c>
      <c r="F22" t="s">
        <v>4</v>
      </c>
      <c r="G22" s="7">
        <f>AVERAGE(G2:G15)</f>
        <v>73217.848999766793</v>
      </c>
      <c r="H22" s="4"/>
      <c r="I22" s="4" t="e">
        <f t="shared" ref="I22" si="3">AVERAGE(I2:I15)</f>
        <v>#DIV/0!</v>
      </c>
    </row>
    <row r="23" spans="1:9" x14ac:dyDescent="0.2">
      <c r="C23" s="4">
        <f>_xlfn.STDEV.S(C2:C20)</f>
        <v>32838.319779863181</v>
      </c>
      <c r="D23" s="4"/>
      <c r="E23" s="4">
        <f t="shared" ref="E23" si="4">_xlfn.STDEV.S(E2:E20)</f>
        <v>33160.4490888113</v>
      </c>
      <c r="F23" t="s">
        <v>5</v>
      </c>
      <c r="G23" s="4">
        <f>_xlfn.STDEV.S(G2:G15)</f>
        <v>5658.4213281839202</v>
      </c>
      <c r="H23" s="4"/>
      <c r="I23" s="4" t="e">
        <f t="shared" ref="I23" si="5">_xlfn.STDEV.S(I2:I15)</f>
        <v>#DIV/0!</v>
      </c>
    </row>
    <row r="24" spans="1:9" x14ac:dyDescent="0.2">
      <c r="C24" s="4">
        <f>C23/SQRT(COUNT(C2:C20))</f>
        <v>7533.6272313734953</v>
      </c>
      <c r="D24" s="4"/>
      <c r="E24" s="7">
        <f t="shared" ref="E24" si="6">E23/SQRT(COUNT(E2:E20))</f>
        <v>8862.5028058494299</v>
      </c>
      <c r="F24" t="s">
        <v>6</v>
      </c>
      <c r="G24" s="7">
        <f>G23/SQRT(COUNT(G2:G15))</f>
        <v>1706.078222848229</v>
      </c>
      <c r="H24" s="4"/>
      <c r="I24" s="4" t="e">
        <f t="shared" ref="I24" si="7">I23/SQRT(COUNT(I2:I15))</f>
        <v>#DIV/0!</v>
      </c>
    </row>
    <row r="25" spans="1:9" x14ac:dyDescent="0.2">
      <c r="D25" s="4"/>
    </row>
    <row r="26" spans="1:9" ht="32" x14ac:dyDescent="0.2">
      <c r="A26" s="6" t="s">
        <v>28</v>
      </c>
      <c r="B26" t="s">
        <v>29</v>
      </c>
    </row>
    <row r="27" spans="1:9" x14ac:dyDescent="0.2">
      <c r="A27" t="s">
        <v>9</v>
      </c>
      <c r="B27">
        <v>13637.25</v>
      </c>
    </row>
    <row r="28" spans="1:9" x14ac:dyDescent="0.2">
      <c r="A28" t="s">
        <v>39</v>
      </c>
      <c r="B28">
        <v>6011.58</v>
      </c>
    </row>
    <row r="29" spans="1:9" x14ac:dyDescent="0.2">
      <c r="A29" t="s">
        <v>10</v>
      </c>
      <c r="B29">
        <v>15031.119999999999</v>
      </c>
    </row>
    <row r="30" spans="1:9" x14ac:dyDescent="0.2">
      <c r="A30" t="s">
        <v>19</v>
      </c>
      <c r="B30">
        <v>19760.3</v>
      </c>
    </row>
    <row r="31" spans="1:9" x14ac:dyDescent="0.2">
      <c r="A31" t="s">
        <v>15</v>
      </c>
      <c r="B31">
        <v>12271.57</v>
      </c>
    </row>
    <row r="32" spans="1:9" x14ac:dyDescent="0.2">
      <c r="A32" t="s">
        <v>43</v>
      </c>
      <c r="B32">
        <v>52872.440000000017</v>
      </c>
    </row>
    <row r="34" spans="2:2" x14ac:dyDescent="0.2">
      <c r="B34">
        <f>AVERAGE(B27:B32)</f>
        <v>19930.710000000003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T20</vt:lpstr>
      <vt:lpstr>T24</vt:lpstr>
      <vt:lpstr>T32</vt:lpstr>
      <vt:lpstr>T36</vt:lpstr>
      <vt:lpstr>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Larnelle Garnie</dc:creator>
  <cp:lastModifiedBy>Garnie, Larnelle</cp:lastModifiedBy>
  <dcterms:created xsi:type="dcterms:W3CDTF">2021-10-23T11:35:11Z</dcterms:created>
  <dcterms:modified xsi:type="dcterms:W3CDTF">2025-04-16T02:54:25Z</dcterms:modified>
</cp:coreProperties>
</file>