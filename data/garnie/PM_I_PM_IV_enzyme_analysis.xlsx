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umccolumbia-my.sharepoint.com/personal/lg3357_cumc_columbia_edu/Documents/UCT One Drive/Masters PhD/Paper 1/Nature Comm Submission Docs/"/>
    </mc:Choice>
  </mc:AlternateContent>
  <xr:revisionPtr revIDLastSave="0" documentId="8_{0E5AB842-7C4D-E94E-8051-1F54BA536924}" xr6:coauthVersionLast="47" xr6:coauthVersionMax="47" xr10:uidLastSave="{00000000-0000-0000-0000-000000000000}"/>
  <bookViews>
    <workbookView xWindow="-120" yWindow="500" windowWidth="28220" windowHeight="17380" activeTab="1" xr2:uid="{FD058879-D84A-4684-80A4-D5166C6BD904}"/>
  </bookViews>
  <sheets>
    <sheet name="PM I" sheetId="1" r:id="rId1"/>
    <sheet name="PM IV" sheetId="2" r:id="rId2"/>
    <sheet name="Volum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59" i="1" l="1"/>
  <c r="R60" i="1"/>
  <c r="R61" i="1"/>
  <c r="R62" i="1"/>
  <c r="R63" i="1"/>
  <c r="R64" i="1"/>
  <c r="R65" i="1"/>
  <c r="Q59" i="1"/>
  <c r="Q60" i="1"/>
  <c r="Q61" i="1"/>
  <c r="Q62" i="1"/>
  <c r="Q63" i="1"/>
  <c r="Q64" i="1"/>
  <c r="Q65" i="1"/>
  <c r="P59" i="1"/>
  <c r="P60" i="1"/>
  <c r="P61" i="1"/>
  <c r="P62" i="1"/>
  <c r="P63" i="1"/>
  <c r="P64" i="1"/>
  <c r="P65" i="1"/>
  <c r="R51" i="1"/>
  <c r="R52" i="1"/>
  <c r="R53" i="1"/>
  <c r="R54" i="1"/>
  <c r="R55" i="1"/>
  <c r="R56" i="1"/>
  <c r="R57" i="1"/>
  <c r="Q57" i="1"/>
  <c r="Q51" i="1"/>
  <c r="Q52" i="1"/>
  <c r="Q53" i="1"/>
  <c r="Q54" i="1"/>
  <c r="Q55" i="1"/>
  <c r="Q56" i="1"/>
  <c r="P51" i="1"/>
  <c r="P52" i="1"/>
  <c r="P53" i="1"/>
  <c r="P54" i="1"/>
  <c r="P55" i="1"/>
  <c r="P56" i="1"/>
  <c r="P57" i="1"/>
  <c r="M43" i="1"/>
  <c r="S13" i="3"/>
  <c r="T13" i="3" s="1"/>
  <c r="S14" i="3"/>
  <c r="S15" i="3"/>
  <c r="S16" i="3"/>
  <c r="T16" i="3" s="1"/>
  <c r="S17" i="3"/>
  <c r="S18" i="3"/>
  <c r="S12" i="3"/>
  <c r="N13" i="3"/>
  <c r="N14" i="3"/>
  <c r="N15" i="3"/>
  <c r="O15" i="3" s="1"/>
  <c r="N16" i="3"/>
  <c r="N17" i="3"/>
  <c r="O17" i="3" s="1"/>
  <c r="N18" i="3"/>
  <c r="O18" i="3" s="1"/>
  <c r="N12" i="3"/>
  <c r="S3" i="3"/>
  <c r="S4" i="3"/>
  <c r="S5" i="3"/>
  <c r="T5" i="3" s="1"/>
  <c r="S6" i="3"/>
  <c r="S7" i="3"/>
  <c r="S8" i="3"/>
  <c r="S2" i="3"/>
  <c r="N3" i="3"/>
  <c r="N4" i="3"/>
  <c r="N5" i="3"/>
  <c r="N6" i="3"/>
  <c r="N7" i="3"/>
  <c r="O7" i="3" s="1"/>
  <c r="N8" i="3"/>
  <c r="O8" i="3" s="1"/>
  <c r="N2" i="3"/>
  <c r="T18" i="3"/>
  <c r="T17" i="3"/>
  <c r="T15" i="3"/>
  <c r="T14" i="3"/>
  <c r="Q13" i="3"/>
  <c r="Q14" i="3" s="1"/>
  <c r="Q15" i="3" s="1"/>
  <c r="Q16" i="3" s="1"/>
  <c r="Q17" i="3" s="1"/>
  <c r="Q18" i="3" s="1"/>
  <c r="T12" i="3"/>
  <c r="O16" i="3"/>
  <c r="O14" i="3"/>
  <c r="O13" i="3"/>
  <c r="L13" i="3"/>
  <c r="L14" i="3" s="1"/>
  <c r="L15" i="3" s="1"/>
  <c r="L16" i="3" s="1"/>
  <c r="L17" i="3" s="1"/>
  <c r="L18" i="3" s="1"/>
  <c r="O12" i="3"/>
  <c r="T8" i="3"/>
  <c r="T7" i="3"/>
  <c r="T6" i="3"/>
  <c r="T4" i="3"/>
  <c r="T3" i="3"/>
  <c r="Q3" i="3"/>
  <c r="Q4" i="3" s="1"/>
  <c r="Q5" i="3" s="1"/>
  <c r="Q6" i="3" s="1"/>
  <c r="Q7" i="3" s="1"/>
  <c r="Q8" i="3" s="1"/>
  <c r="T2" i="3"/>
  <c r="O6" i="3"/>
  <c r="O5" i="3"/>
  <c r="O4" i="3"/>
  <c r="O3" i="3"/>
  <c r="L3" i="3"/>
  <c r="L4" i="3" s="1"/>
  <c r="L5" i="3" s="1"/>
  <c r="L6" i="3" s="1"/>
  <c r="L7" i="3" s="1"/>
  <c r="L8" i="3" s="1"/>
  <c r="O2" i="3"/>
  <c r="K35" i="1"/>
  <c r="Q45" i="2"/>
  <c r="R45" i="2" s="1"/>
  <c r="P45" i="2"/>
  <c r="R44" i="2"/>
  <c r="R43" i="2"/>
  <c r="Q43" i="2"/>
  <c r="P43" i="2"/>
  <c r="Q44" i="2"/>
  <c r="P44" i="2"/>
  <c r="P46" i="2"/>
  <c r="P47" i="2"/>
  <c r="P48" i="2"/>
  <c r="P49" i="2"/>
  <c r="O44" i="2"/>
  <c r="O45" i="2"/>
  <c r="O46" i="2"/>
  <c r="O47" i="2"/>
  <c r="O48" i="2"/>
  <c r="O49" i="2"/>
  <c r="N44" i="2"/>
  <c r="N45" i="2"/>
  <c r="N46" i="2"/>
  <c r="N47" i="2"/>
  <c r="N48" i="2"/>
  <c r="N49" i="2"/>
  <c r="M44" i="2"/>
  <c r="M45" i="2"/>
  <c r="M46" i="2"/>
  <c r="M47" i="2"/>
  <c r="M48" i="2"/>
  <c r="M49" i="2"/>
  <c r="L44" i="2"/>
  <c r="L45" i="2"/>
  <c r="L46" i="2"/>
  <c r="L47" i="2"/>
  <c r="L48" i="2"/>
  <c r="L49" i="2"/>
  <c r="O43" i="2"/>
  <c r="N43" i="2"/>
  <c r="M43" i="2"/>
  <c r="L43" i="2"/>
  <c r="H55" i="2"/>
  <c r="H53" i="2"/>
  <c r="G55" i="2"/>
  <c r="G53" i="2"/>
  <c r="F53" i="2"/>
  <c r="F55" i="2"/>
  <c r="H45" i="2"/>
  <c r="G45" i="2"/>
  <c r="F45" i="2"/>
  <c r="H44" i="2"/>
  <c r="G44" i="2"/>
  <c r="F44" i="2"/>
  <c r="E44" i="2"/>
  <c r="E45" i="2"/>
  <c r="E46" i="2"/>
  <c r="E47" i="2"/>
  <c r="E48" i="2"/>
  <c r="E49" i="2"/>
  <c r="E43" i="2"/>
  <c r="D54" i="2"/>
  <c r="D55" i="2"/>
  <c r="D56" i="2"/>
  <c r="D57" i="2"/>
  <c r="D58" i="2"/>
  <c r="D59" i="2"/>
  <c r="C54" i="2"/>
  <c r="C55" i="2"/>
  <c r="C56" i="2"/>
  <c r="C57" i="2"/>
  <c r="C58" i="2"/>
  <c r="C59" i="2"/>
  <c r="B54" i="2"/>
  <c r="B55" i="2"/>
  <c r="B56" i="2"/>
  <c r="B57" i="2"/>
  <c r="B58" i="2"/>
  <c r="B59" i="2"/>
  <c r="D53" i="2"/>
  <c r="C53" i="2"/>
  <c r="B53" i="2"/>
  <c r="E54" i="2"/>
  <c r="E55" i="2"/>
  <c r="E56" i="2"/>
  <c r="E57" i="2"/>
  <c r="E58" i="2"/>
  <c r="E59" i="2"/>
  <c r="E53" i="2"/>
  <c r="D44" i="2"/>
  <c r="D45" i="2"/>
  <c r="D46" i="2"/>
  <c r="D47" i="2"/>
  <c r="D48" i="2"/>
  <c r="D49" i="2"/>
  <c r="D43" i="2"/>
  <c r="G43" i="2"/>
  <c r="H43" i="2" s="1"/>
  <c r="F43" i="2"/>
  <c r="K39" i="2"/>
  <c r="L39" i="2" s="1"/>
  <c r="J39" i="2"/>
  <c r="H39" i="2"/>
  <c r="D39" i="2"/>
  <c r="K38" i="2"/>
  <c r="J38" i="2"/>
  <c r="H38" i="2"/>
  <c r="D38" i="2"/>
  <c r="K37" i="2"/>
  <c r="L37" i="2" s="1"/>
  <c r="J37" i="2"/>
  <c r="H37" i="2"/>
  <c r="D37" i="2"/>
  <c r="K36" i="2"/>
  <c r="L36" i="2" s="1"/>
  <c r="J36" i="2"/>
  <c r="H36" i="2"/>
  <c r="D36" i="2"/>
  <c r="K35" i="2"/>
  <c r="L35" i="2" s="1"/>
  <c r="J35" i="2"/>
  <c r="H35" i="2"/>
  <c r="D35" i="2"/>
  <c r="K34" i="2"/>
  <c r="L34" i="2" s="1"/>
  <c r="J34" i="2"/>
  <c r="H34" i="2"/>
  <c r="D34" i="2"/>
  <c r="A34" i="2"/>
  <c r="A35" i="2" s="1"/>
  <c r="A36" i="2" s="1"/>
  <c r="A37" i="2" s="1"/>
  <c r="A38" i="2" s="1"/>
  <c r="A39" i="2" s="1"/>
  <c r="K33" i="2"/>
  <c r="J33" i="2"/>
  <c r="H33" i="2"/>
  <c r="D33" i="2"/>
  <c r="K29" i="2"/>
  <c r="J29" i="2"/>
  <c r="H29" i="2"/>
  <c r="D29" i="2"/>
  <c r="K28" i="2"/>
  <c r="J28" i="2"/>
  <c r="H28" i="2"/>
  <c r="D28" i="2"/>
  <c r="K27" i="2"/>
  <c r="J27" i="2"/>
  <c r="H27" i="2"/>
  <c r="D27" i="2"/>
  <c r="K26" i="2"/>
  <c r="J26" i="2"/>
  <c r="H26" i="2"/>
  <c r="D26" i="2"/>
  <c r="K25" i="2"/>
  <c r="J25" i="2"/>
  <c r="H25" i="2"/>
  <c r="D25" i="2"/>
  <c r="K24" i="2"/>
  <c r="J24" i="2"/>
  <c r="H24" i="2"/>
  <c r="D24" i="2"/>
  <c r="A24" i="2"/>
  <c r="A25" i="2" s="1"/>
  <c r="A26" i="2" s="1"/>
  <c r="A27" i="2" s="1"/>
  <c r="A28" i="2" s="1"/>
  <c r="A29" i="2" s="1"/>
  <c r="K23" i="2"/>
  <c r="J23" i="2"/>
  <c r="H23" i="2"/>
  <c r="D23" i="2"/>
  <c r="A54" i="2"/>
  <c r="A55" i="2" s="1"/>
  <c r="A56" i="2" s="1"/>
  <c r="A57" i="2" s="1"/>
  <c r="A58" i="2" s="1"/>
  <c r="A59" i="2" s="1"/>
  <c r="R44" i="1"/>
  <c r="R45" i="1"/>
  <c r="R46" i="1"/>
  <c r="R47" i="1"/>
  <c r="R48" i="1"/>
  <c r="R49" i="1"/>
  <c r="Q44" i="1"/>
  <c r="Q45" i="1"/>
  <c r="Q46" i="1"/>
  <c r="Q47" i="1"/>
  <c r="Q48" i="1"/>
  <c r="Q49" i="1"/>
  <c r="P44" i="1"/>
  <c r="P45" i="1"/>
  <c r="P46" i="1"/>
  <c r="P47" i="1"/>
  <c r="P48" i="1"/>
  <c r="P49" i="1"/>
  <c r="O44" i="1"/>
  <c r="O45" i="1"/>
  <c r="O46" i="1"/>
  <c r="O47" i="1"/>
  <c r="O48" i="1"/>
  <c r="O49" i="1"/>
  <c r="H54" i="1"/>
  <c r="G54" i="1"/>
  <c r="F54" i="1"/>
  <c r="E54" i="1"/>
  <c r="E55" i="1"/>
  <c r="E56" i="1"/>
  <c r="E57" i="1"/>
  <c r="E58" i="1"/>
  <c r="E59" i="1"/>
  <c r="G59" i="1" s="1"/>
  <c r="H59" i="1" s="1"/>
  <c r="D54" i="1"/>
  <c r="D55" i="1"/>
  <c r="D56" i="1"/>
  <c r="D57" i="1"/>
  <c r="D58" i="1"/>
  <c r="D59" i="1"/>
  <c r="C54" i="1"/>
  <c r="C55" i="1"/>
  <c r="C56" i="1"/>
  <c r="C57" i="1"/>
  <c r="C58" i="1"/>
  <c r="C59" i="1"/>
  <c r="B54" i="1"/>
  <c r="B55" i="1"/>
  <c r="B56" i="1"/>
  <c r="B57" i="1"/>
  <c r="B58" i="1"/>
  <c r="B59" i="1"/>
  <c r="E53" i="1"/>
  <c r="D53" i="1"/>
  <c r="C53" i="1"/>
  <c r="B53" i="1"/>
  <c r="G58" i="1"/>
  <c r="H58" i="1" s="1"/>
  <c r="G56" i="1"/>
  <c r="H56" i="1" s="1"/>
  <c r="G55" i="1"/>
  <c r="H55" i="1" s="1"/>
  <c r="A54" i="1"/>
  <c r="A55" i="1" s="1"/>
  <c r="A56" i="1" s="1"/>
  <c r="A57" i="1" s="1"/>
  <c r="A58" i="1" s="1"/>
  <c r="A59" i="1" s="1"/>
  <c r="G53" i="1"/>
  <c r="H53" i="1" s="1"/>
  <c r="H34" i="1"/>
  <c r="H35" i="1"/>
  <c r="H36" i="1"/>
  <c r="H37" i="1"/>
  <c r="H38" i="1"/>
  <c r="H39" i="1"/>
  <c r="H33" i="1"/>
  <c r="D34" i="1"/>
  <c r="L34" i="1" s="1"/>
  <c r="D35" i="1"/>
  <c r="L35" i="1" s="1"/>
  <c r="D36" i="1"/>
  <c r="L36" i="1" s="1"/>
  <c r="D37" i="1"/>
  <c r="D38" i="1"/>
  <c r="D39" i="1"/>
  <c r="D33" i="1"/>
  <c r="H44" i="1"/>
  <c r="H45" i="1"/>
  <c r="H46" i="1"/>
  <c r="H47" i="1"/>
  <c r="H48" i="1"/>
  <c r="H49" i="1"/>
  <c r="G44" i="1"/>
  <c r="F44" i="1"/>
  <c r="G45" i="1"/>
  <c r="G46" i="1"/>
  <c r="G47" i="1"/>
  <c r="G48" i="1"/>
  <c r="G49" i="1"/>
  <c r="F45" i="1"/>
  <c r="F46" i="1"/>
  <c r="F47" i="1"/>
  <c r="F48" i="1"/>
  <c r="F49" i="1"/>
  <c r="E44" i="1"/>
  <c r="E45" i="1"/>
  <c r="E46" i="1"/>
  <c r="E47" i="1"/>
  <c r="E48" i="1"/>
  <c r="E49" i="1"/>
  <c r="E43" i="1"/>
  <c r="L38" i="1"/>
  <c r="N44" i="1"/>
  <c r="N45" i="1"/>
  <c r="N46" i="1"/>
  <c r="N47" i="1"/>
  <c r="N48" i="1"/>
  <c r="N49" i="1"/>
  <c r="H24" i="1"/>
  <c r="H25" i="1"/>
  <c r="H26" i="1"/>
  <c r="H27" i="1"/>
  <c r="H28" i="1"/>
  <c r="H29" i="1"/>
  <c r="H23" i="1"/>
  <c r="D44" i="1"/>
  <c r="D45" i="1"/>
  <c r="D46" i="1"/>
  <c r="D47" i="1"/>
  <c r="D48" i="1"/>
  <c r="D49" i="1"/>
  <c r="D43" i="1"/>
  <c r="G43" i="1" s="1"/>
  <c r="H43" i="1" s="1"/>
  <c r="D24" i="1"/>
  <c r="L24" i="1" s="1"/>
  <c r="D25" i="1"/>
  <c r="D26" i="1"/>
  <c r="D27" i="1"/>
  <c r="D28" i="1"/>
  <c r="D29" i="1"/>
  <c r="D23" i="1"/>
  <c r="L23" i="1" s="1"/>
  <c r="K39" i="1"/>
  <c r="J39" i="1"/>
  <c r="K38" i="1"/>
  <c r="J38" i="1"/>
  <c r="L37" i="1"/>
  <c r="K37" i="1"/>
  <c r="J37" i="1"/>
  <c r="K36" i="1"/>
  <c r="J36" i="1"/>
  <c r="J35" i="1"/>
  <c r="K34" i="1"/>
  <c r="J34" i="1"/>
  <c r="A34" i="1"/>
  <c r="A35" i="1" s="1"/>
  <c r="A36" i="1" s="1"/>
  <c r="A37" i="1" s="1"/>
  <c r="A38" i="1" s="1"/>
  <c r="A39" i="1" s="1"/>
  <c r="K33" i="1"/>
  <c r="O43" i="1" s="1"/>
  <c r="J33" i="1"/>
  <c r="K29" i="1"/>
  <c r="J29" i="1"/>
  <c r="K28" i="1"/>
  <c r="J28" i="1"/>
  <c r="K27" i="1"/>
  <c r="J27" i="1"/>
  <c r="K26" i="1"/>
  <c r="J26" i="1"/>
  <c r="K25" i="1"/>
  <c r="J25" i="1"/>
  <c r="L25" i="1"/>
  <c r="K24" i="1"/>
  <c r="J24" i="1"/>
  <c r="A24" i="1"/>
  <c r="A25" i="1" s="1"/>
  <c r="A26" i="1" s="1"/>
  <c r="A27" i="1" s="1"/>
  <c r="A28" i="1" s="1"/>
  <c r="A29" i="1" s="1"/>
  <c r="K23" i="1"/>
  <c r="N43" i="1" s="1"/>
  <c r="J23" i="1"/>
  <c r="K44" i="1"/>
  <c r="K45" i="1" s="1"/>
  <c r="K46" i="1" s="1"/>
  <c r="K47" i="1" s="1"/>
  <c r="K48" i="1" s="1"/>
  <c r="K49" i="1" s="1"/>
  <c r="A44" i="1"/>
  <c r="A45" i="1" s="1"/>
  <c r="A46" i="1" s="1"/>
  <c r="A47" i="1" s="1"/>
  <c r="A48" i="1" s="1"/>
  <c r="A49" i="1" s="1"/>
  <c r="K44" i="2"/>
  <c r="K45" i="2" s="1"/>
  <c r="K46" i="2" s="1"/>
  <c r="K47" i="2" s="1"/>
  <c r="K48" i="2" s="1"/>
  <c r="K49" i="2" s="1"/>
  <c r="C43" i="1"/>
  <c r="B44" i="1"/>
  <c r="B45" i="1"/>
  <c r="B46" i="1"/>
  <c r="B47" i="1"/>
  <c r="B48" i="1"/>
  <c r="B49" i="1"/>
  <c r="B43" i="1"/>
  <c r="C49" i="1"/>
  <c r="C48" i="1"/>
  <c r="C47" i="1"/>
  <c r="C46" i="1"/>
  <c r="C45" i="1"/>
  <c r="C44" i="1"/>
  <c r="C44" i="2"/>
  <c r="C45" i="2"/>
  <c r="C46" i="2"/>
  <c r="C47" i="2"/>
  <c r="C48" i="2"/>
  <c r="C49" i="2"/>
  <c r="C43" i="2"/>
  <c r="B44" i="2"/>
  <c r="B45" i="2"/>
  <c r="B46" i="2"/>
  <c r="G46" i="2" s="1"/>
  <c r="H46" i="2" s="1"/>
  <c r="B47" i="2"/>
  <c r="B48" i="2"/>
  <c r="B49" i="2"/>
  <c r="B43" i="2"/>
  <c r="A44" i="2"/>
  <c r="A45" i="2" s="1"/>
  <c r="A46" i="2" s="1"/>
  <c r="A47" i="2" s="1"/>
  <c r="A48" i="2" s="1"/>
  <c r="A49" i="2" s="1"/>
  <c r="I13" i="3"/>
  <c r="J13" i="3" s="1"/>
  <c r="I14" i="3"/>
  <c r="J14" i="3" s="1"/>
  <c r="I15" i="3"/>
  <c r="J15" i="3" s="1"/>
  <c r="I16" i="3"/>
  <c r="J16" i="3" s="1"/>
  <c r="I17" i="3"/>
  <c r="J17" i="3" s="1"/>
  <c r="I18" i="3"/>
  <c r="J18" i="3" s="1"/>
  <c r="I12" i="3"/>
  <c r="J12" i="3" s="1"/>
  <c r="C13" i="3"/>
  <c r="D13" i="3" s="1"/>
  <c r="C14" i="3"/>
  <c r="D14" i="3" s="1"/>
  <c r="C15" i="3"/>
  <c r="D15" i="3" s="1"/>
  <c r="C16" i="3"/>
  <c r="D16" i="3" s="1"/>
  <c r="C17" i="3"/>
  <c r="D17" i="3" s="1"/>
  <c r="C18" i="3"/>
  <c r="D18" i="3" s="1"/>
  <c r="C12" i="3"/>
  <c r="D12" i="3" s="1"/>
  <c r="G14" i="3"/>
  <c r="G15" i="3" s="1"/>
  <c r="G16" i="3" s="1"/>
  <c r="G17" i="3" s="1"/>
  <c r="G18" i="3" s="1"/>
  <c r="G13" i="3"/>
  <c r="I3" i="3"/>
  <c r="J3" i="3" s="1"/>
  <c r="I4" i="3"/>
  <c r="J4" i="3" s="1"/>
  <c r="I5" i="3"/>
  <c r="J5" i="3" s="1"/>
  <c r="I6" i="3"/>
  <c r="J6" i="3" s="1"/>
  <c r="I7" i="3"/>
  <c r="J7" i="3" s="1"/>
  <c r="I8" i="3"/>
  <c r="J8" i="3" s="1"/>
  <c r="I2" i="3"/>
  <c r="J2" i="3" s="1"/>
  <c r="G4" i="3"/>
  <c r="G5" i="3" s="1"/>
  <c r="G6" i="3" s="1"/>
  <c r="G7" i="3" s="1"/>
  <c r="G8" i="3" s="1"/>
  <c r="G3" i="3"/>
  <c r="C3" i="3"/>
  <c r="D3" i="3" s="1"/>
  <c r="C4" i="3"/>
  <c r="D4" i="3" s="1"/>
  <c r="C5" i="3"/>
  <c r="D5" i="3" s="1"/>
  <c r="C6" i="3"/>
  <c r="D6" i="3" s="1"/>
  <c r="C7" i="3"/>
  <c r="D7" i="3" s="1"/>
  <c r="C8" i="3"/>
  <c r="D8" i="3" s="1"/>
  <c r="C2" i="3"/>
  <c r="D2" i="3" s="1"/>
  <c r="A13" i="3"/>
  <c r="A14" i="3" s="1"/>
  <c r="A15" i="3" s="1"/>
  <c r="A16" i="3" s="1"/>
  <c r="A17" i="3" s="1"/>
  <c r="A18" i="3" s="1"/>
  <c r="A4" i="3"/>
  <c r="A5" i="3" s="1"/>
  <c r="A6" i="3" s="1"/>
  <c r="A7" i="3" s="1"/>
  <c r="A8" i="3" s="1"/>
  <c r="A3" i="3"/>
  <c r="D3" i="2"/>
  <c r="D4" i="2"/>
  <c r="D5" i="2"/>
  <c r="D6" i="2"/>
  <c r="D7" i="2"/>
  <c r="D8" i="2"/>
  <c r="D9" i="2"/>
  <c r="H3" i="2"/>
  <c r="H4" i="2"/>
  <c r="H5" i="2"/>
  <c r="H6" i="2"/>
  <c r="H7" i="2"/>
  <c r="H8" i="2"/>
  <c r="H9" i="2"/>
  <c r="K19" i="2"/>
  <c r="L19" i="2" s="1"/>
  <c r="J19" i="2"/>
  <c r="H19" i="2"/>
  <c r="D19" i="2"/>
  <c r="K18" i="2"/>
  <c r="J18" i="2"/>
  <c r="H18" i="2"/>
  <c r="D18" i="2"/>
  <c r="K17" i="2"/>
  <c r="J17" i="2"/>
  <c r="H17" i="2"/>
  <c r="D17" i="2"/>
  <c r="K16" i="2"/>
  <c r="J16" i="2"/>
  <c r="H16" i="2"/>
  <c r="D16" i="2"/>
  <c r="K15" i="2"/>
  <c r="L15" i="2" s="1"/>
  <c r="J15" i="2"/>
  <c r="H15" i="2"/>
  <c r="D15" i="2"/>
  <c r="K14" i="2"/>
  <c r="J14" i="2"/>
  <c r="H14" i="2"/>
  <c r="D14" i="2"/>
  <c r="A14" i="2"/>
  <c r="A15" i="2" s="1"/>
  <c r="A16" i="2" s="1"/>
  <c r="A17" i="2" s="1"/>
  <c r="A18" i="2" s="1"/>
  <c r="A19" i="2" s="1"/>
  <c r="K13" i="2"/>
  <c r="J13" i="2"/>
  <c r="H13" i="2"/>
  <c r="D13" i="2"/>
  <c r="K9" i="2"/>
  <c r="L9" i="2" s="1"/>
  <c r="J9" i="2"/>
  <c r="K8" i="2"/>
  <c r="J8" i="2"/>
  <c r="K7" i="2"/>
  <c r="J7" i="2"/>
  <c r="K6" i="2"/>
  <c r="J6" i="2"/>
  <c r="K5" i="2"/>
  <c r="J5" i="2"/>
  <c r="K4" i="2"/>
  <c r="J4" i="2"/>
  <c r="A4" i="2"/>
  <c r="A5" i="2" s="1"/>
  <c r="A6" i="2" s="1"/>
  <c r="A7" i="2" s="1"/>
  <c r="A8" i="2" s="1"/>
  <c r="A9" i="2" s="1"/>
  <c r="K3" i="2"/>
  <c r="J3" i="2"/>
  <c r="K14" i="1"/>
  <c r="M44" i="1" s="1"/>
  <c r="K15" i="1"/>
  <c r="M45" i="1" s="1"/>
  <c r="K16" i="1"/>
  <c r="M46" i="1" s="1"/>
  <c r="K17" i="1"/>
  <c r="M47" i="1" s="1"/>
  <c r="K18" i="1"/>
  <c r="M48" i="1" s="1"/>
  <c r="K19" i="1"/>
  <c r="M49" i="1" s="1"/>
  <c r="K13" i="1"/>
  <c r="J14" i="1"/>
  <c r="J15" i="1"/>
  <c r="J16" i="1"/>
  <c r="J17" i="1"/>
  <c r="J18" i="1"/>
  <c r="J19" i="1"/>
  <c r="J13" i="1"/>
  <c r="H14" i="1"/>
  <c r="H15" i="1"/>
  <c r="H16" i="1"/>
  <c r="H17" i="1"/>
  <c r="H18" i="1"/>
  <c r="H19" i="1"/>
  <c r="H13" i="1"/>
  <c r="D14" i="1"/>
  <c r="D15" i="1"/>
  <c r="D16" i="1"/>
  <c r="D17" i="1"/>
  <c r="D18" i="1"/>
  <c r="D19" i="1"/>
  <c r="D13" i="1"/>
  <c r="A14" i="1"/>
  <c r="A15" i="1" s="1"/>
  <c r="A16" i="1" s="1"/>
  <c r="A17" i="1" s="1"/>
  <c r="A18" i="1" s="1"/>
  <c r="A19" i="1" s="1"/>
  <c r="A4" i="1"/>
  <c r="A5" i="1" s="1"/>
  <c r="A6" i="1" s="1"/>
  <c r="A7" i="1" s="1"/>
  <c r="A8" i="1" s="1"/>
  <c r="A9" i="1" s="1"/>
  <c r="K3" i="1"/>
  <c r="L43" i="1" s="1"/>
  <c r="K4" i="1"/>
  <c r="L44" i="1" s="1"/>
  <c r="K5" i="1"/>
  <c r="L45" i="1" s="1"/>
  <c r="K6" i="1"/>
  <c r="L46" i="1" s="1"/>
  <c r="K7" i="1"/>
  <c r="L47" i="1" s="1"/>
  <c r="K8" i="1"/>
  <c r="L48" i="1" s="1"/>
  <c r="K9" i="1"/>
  <c r="L49" i="1" s="1"/>
  <c r="J4" i="1"/>
  <c r="J5" i="1"/>
  <c r="J6" i="1"/>
  <c r="J7" i="1"/>
  <c r="J8" i="1"/>
  <c r="J9" i="1"/>
  <c r="J3" i="1"/>
  <c r="H4" i="1"/>
  <c r="H5" i="1"/>
  <c r="H6" i="1"/>
  <c r="H7" i="1"/>
  <c r="H8" i="1"/>
  <c r="H9" i="1"/>
  <c r="H3" i="1"/>
  <c r="D4" i="1"/>
  <c r="D5" i="1"/>
  <c r="D6" i="1"/>
  <c r="D7" i="1"/>
  <c r="D8" i="1"/>
  <c r="D9" i="1"/>
  <c r="D3" i="1"/>
  <c r="F43" i="1" l="1"/>
  <c r="L27" i="1"/>
  <c r="L26" i="1"/>
  <c r="P43" i="1"/>
  <c r="Q43" i="1"/>
  <c r="R43" i="1" s="1"/>
  <c r="L39" i="1"/>
  <c r="F48" i="2"/>
  <c r="F47" i="2"/>
  <c r="F49" i="2"/>
  <c r="G47" i="2"/>
  <c r="H47" i="2" s="1"/>
  <c r="L38" i="2"/>
  <c r="L33" i="2"/>
  <c r="F46" i="2"/>
  <c r="G59" i="2"/>
  <c r="H59" i="2" s="1"/>
  <c r="G57" i="2"/>
  <c r="H57" i="2" s="1"/>
  <c r="G56" i="2"/>
  <c r="H56" i="2" s="1"/>
  <c r="G49" i="2"/>
  <c r="H49" i="2" s="1"/>
  <c r="F54" i="2"/>
  <c r="G48" i="2"/>
  <c r="H48" i="2" s="1"/>
  <c r="F58" i="2"/>
  <c r="G54" i="2"/>
  <c r="H54" i="2" s="1"/>
  <c r="L24" i="2"/>
  <c r="L26" i="2"/>
  <c r="L28" i="2"/>
  <c r="L23" i="2"/>
  <c r="L25" i="2"/>
  <c r="L27" i="2"/>
  <c r="L29" i="2"/>
  <c r="L3" i="2"/>
  <c r="F57" i="2"/>
  <c r="L13" i="2"/>
  <c r="Q46" i="2"/>
  <c r="R46" i="2" s="1"/>
  <c r="Q47" i="2"/>
  <c r="R47" i="2" s="1"/>
  <c r="Q48" i="2"/>
  <c r="R48" i="2" s="1"/>
  <c r="L14" i="2"/>
  <c r="L16" i="2"/>
  <c r="L18" i="2"/>
  <c r="L17" i="2"/>
  <c r="G57" i="1"/>
  <c r="H57" i="1" s="1"/>
  <c r="F53" i="1"/>
  <c r="F55" i="1"/>
  <c r="F56" i="1"/>
  <c r="F57" i="1"/>
  <c r="F58" i="1"/>
  <c r="F59" i="1"/>
  <c r="L33" i="1"/>
  <c r="L29" i="1"/>
  <c r="L28" i="1"/>
  <c r="L17" i="1"/>
  <c r="L18" i="1"/>
  <c r="L4" i="1"/>
  <c r="L13" i="1"/>
  <c r="L14" i="1"/>
  <c r="L5" i="1"/>
  <c r="L15" i="1"/>
  <c r="L16" i="1"/>
  <c r="L8" i="1"/>
  <c r="L7" i="1"/>
  <c r="L6" i="1"/>
  <c r="L19" i="1"/>
  <c r="L3" i="1"/>
  <c r="L9" i="1"/>
  <c r="L8" i="2"/>
  <c r="L7" i="2"/>
  <c r="L6" i="2"/>
  <c r="L5" i="2"/>
  <c r="L4" i="2"/>
  <c r="G58" i="2" l="1"/>
  <c r="H58" i="2" s="1"/>
  <c r="F59" i="2"/>
  <c r="F56" i="2"/>
  <c r="Q49" i="2"/>
  <c r="R49" i="2" s="1"/>
</calcChain>
</file>

<file path=xl/sharedStrings.xml><?xml version="1.0" encoding="utf-8"?>
<sst xmlns="http://schemas.openxmlformats.org/spreadsheetml/2006/main" count="212" uniqueCount="69">
  <si>
    <t>NF 1 PM I</t>
  </si>
  <si>
    <t>Area</t>
  </si>
  <si>
    <t>Percent</t>
  </si>
  <si>
    <t>NF 1 BiP</t>
  </si>
  <si>
    <t>NF 2 PM I</t>
  </si>
  <si>
    <t>NF 2 BiP</t>
  </si>
  <si>
    <t>Rel density</t>
  </si>
  <si>
    <t>NF 1 PM I vs BiP</t>
  </si>
  <si>
    <t>A PM I/ A BiP</t>
  </si>
  <si>
    <t>Percent/percent</t>
  </si>
  <si>
    <t>Hours</t>
  </si>
  <si>
    <t>Rel Density</t>
  </si>
  <si>
    <t>A/A</t>
  </si>
  <si>
    <t>P/P</t>
  </si>
  <si>
    <t>NF 1 PM IV</t>
  </si>
  <si>
    <t>NF 1 PM IV vs BiP</t>
  </si>
  <si>
    <t>NF 2 PM IV</t>
  </si>
  <si>
    <t>Rel Dens/Rel Dens</t>
  </si>
  <si>
    <t>Rel Dens/ Rel Dens</t>
  </si>
  <si>
    <t>Rel dens / Rel dens</t>
  </si>
  <si>
    <t>Volume</t>
  </si>
  <si>
    <t>Average</t>
  </si>
  <si>
    <t>Enzyme/Volume</t>
  </si>
  <si>
    <t>Time</t>
  </si>
  <si>
    <t>PMI (1)</t>
  </si>
  <si>
    <t>PMI (2)</t>
  </si>
  <si>
    <t>PMIV (1)</t>
  </si>
  <si>
    <t>PMIV (2)</t>
  </si>
  <si>
    <t>Average of Percent values</t>
  </si>
  <si>
    <t>P/P Average</t>
  </si>
  <si>
    <t>NF 1</t>
  </si>
  <si>
    <t>NF 2</t>
  </si>
  <si>
    <t>Std Dev</t>
  </si>
  <si>
    <t>NF 3 PM I</t>
  </si>
  <si>
    <t>NF 3 BiP</t>
  </si>
  <si>
    <t>NF 3 PM I vs BiP</t>
  </si>
  <si>
    <t>NF 4 PM I</t>
  </si>
  <si>
    <t>NF 4 BiP</t>
  </si>
  <si>
    <t>NF 4 PM I vs BiP</t>
  </si>
  <si>
    <t>NF 3</t>
  </si>
  <si>
    <t>NF 4</t>
  </si>
  <si>
    <t>Std Error</t>
  </si>
  <si>
    <t>Average of Percent values -PMI</t>
  </si>
  <si>
    <t>Average of Percent values -BiP Control</t>
  </si>
  <si>
    <t>NF 2 PM I vs BiP</t>
  </si>
  <si>
    <t>NF 2 PM IV vs BiP</t>
  </si>
  <si>
    <t>NF 3 PM IV</t>
  </si>
  <si>
    <t>NF 3 PM IV vs BiP</t>
  </si>
  <si>
    <t>NF 4 PM IV</t>
  </si>
  <si>
    <t>NF 4 PM IV vs BiP</t>
  </si>
  <si>
    <t>PMI (3)</t>
  </si>
  <si>
    <t>PMI (4)</t>
  </si>
  <si>
    <t>PMIV (3)</t>
  </si>
  <si>
    <t>PMIV (4)</t>
  </si>
  <si>
    <t>8,7559633*</t>
  </si>
  <si>
    <t>3,68176204*</t>
  </si>
  <si>
    <t>3,11796684*</t>
  </si>
  <si>
    <t>PMI</t>
  </si>
  <si>
    <t>PMIV</t>
  </si>
  <si>
    <t>3,72649573*</t>
  </si>
  <si>
    <t>0,03770492*</t>
  </si>
  <si>
    <t>4,05128205*</t>
  </si>
  <si>
    <t>20h</t>
  </si>
  <si>
    <t>24h</t>
  </si>
  <si>
    <t>28h</t>
  </si>
  <si>
    <t>32h</t>
  </si>
  <si>
    <t>36h</t>
  </si>
  <si>
    <t>40h</t>
  </si>
  <si>
    <t>44h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</si>
</sst>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0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  <xf numFmtId="0" fontId="4" fillId="0" borderId="0" xfId="0" applyFont="1"/>
    <xf numFmtId="2" fontId="0" fillId="0" borderId="0" xfId="0" applyNumberFormat="1"/>
    <xf numFmtId="2" fontId="1" fillId="0" borderId="0" xfId="0" applyNumberFormat="1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1A9F5-55B0-4E51-8DB9-7BF8D3DEF2B5}">
  <dimension ref="A1:R65"/>
  <sheetViews>
    <sheetView workbookViewId="0">
      <selection activeCell="R58" sqref="R58"/>
    </sheetView>
  </sheetViews>
  <sheetFormatPr baseColWidth="10" defaultColWidth="8.83203125" defaultRowHeight="15" x14ac:dyDescent="0.2"/>
  <cols>
    <col min="10" max="10" width="12" customWidth="1"/>
    <col min="11" max="11" width="10.83203125" customWidth="1"/>
  </cols>
  <sheetData>
    <row r="1" spans="1:12" ht="21" x14ac:dyDescent="0.25">
      <c r="A1" s="1" t="s">
        <v>0</v>
      </c>
      <c r="F1" s="1" t="s">
        <v>3</v>
      </c>
      <c r="J1" s="1" t="s">
        <v>7</v>
      </c>
    </row>
    <row r="2" spans="1:12" x14ac:dyDescent="0.2">
      <c r="A2" t="s">
        <v>10</v>
      </c>
      <c r="B2" t="s">
        <v>1</v>
      </c>
      <c r="C2" t="s">
        <v>2</v>
      </c>
      <c r="D2" t="s">
        <v>6</v>
      </c>
      <c r="F2" t="s">
        <v>1</v>
      </c>
      <c r="G2" t="s">
        <v>2</v>
      </c>
      <c r="H2" t="s">
        <v>6</v>
      </c>
      <c r="J2" s="2" t="s">
        <v>8</v>
      </c>
      <c r="K2" t="s">
        <v>9</v>
      </c>
      <c r="L2" t="s">
        <v>18</v>
      </c>
    </row>
    <row r="3" spans="1:12" x14ac:dyDescent="0.2">
      <c r="A3">
        <v>20</v>
      </c>
      <c r="B3">
        <v>11993.903</v>
      </c>
      <c r="C3">
        <v>11.242000000000001</v>
      </c>
      <c r="D3">
        <f>C3/$C$3</f>
        <v>1</v>
      </c>
      <c r="F3">
        <v>5426.8609999999999</v>
      </c>
      <c r="G3">
        <v>6.77</v>
      </c>
      <c r="H3">
        <f>G3/$G$3</f>
        <v>1</v>
      </c>
      <c r="J3" s="2">
        <f>B3/F3</f>
        <v>2.2100995400471839</v>
      </c>
      <c r="K3">
        <f>C3/G3</f>
        <v>1.6605612998522898</v>
      </c>
      <c r="L3">
        <f>D3/H3</f>
        <v>1</v>
      </c>
    </row>
    <row r="4" spans="1:12" x14ac:dyDescent="0.2">
      <c r="A4">
        <f>A3+4</f>
        <v>24</v>
      </c>
      <c r="B4">
        <v>6235.1959999999999</v>
      </c>
      <c r="C4">
        <v>5.8440000000000003</v>
      </c>
      <c r="D4">
        <f t="shared" ref="D4:D9" si="0">C4/$C$3</f>
        <v>0.51983632805550617</v>
      </c>
      <c r="F4">
        <v>7752.7110000000002</v>
      </c>
      <c r="G4">
        <v>9.6709999999999994</v>
      </c>
      <c r="H4">
        <f t="shared" ref="H4:H9" si="1">G4/$G$3</f>
        <v>1.4285081240768094</v>
      </c>
      <c r="J4" s="2">
        <f t="shared" ref="J4:J9" si="2">B4/F4</f>
        <v>0.80426008398868465</v>
      </c>
      <c r="K4">
        <f t="shared" ref="K4:K9" si="3">C4/G4</f>
        <v>0.60428083962361712</v>
      </c>
      <c r="L4">
        <f t="shared" ref="L4:L9" si="4">D4/H4</f>
        <v>0.36390155526168722</v>
      </c>
    </row>
    <row r="5" spans="1:12" x14ac:dyDescent="0.2">
      <c r="A5">
        <f t="shared" ref="A5:A9" si="5">A4+4</f>
        <v>28</v>
      </c>
      <c r="B5">
        <v>13270.51</v>
      </c>
      <c r="C5">
        <v>12.439</v>
      </c>
      <c r="D5">
        <f t="shared" si="0"/>
        <v>1.1064757160647571</v>
      </c>
      <c r="F5">
        <v>7439.7610000000004</v>
      </c>
      <c r="G5">
        <v>9.2810000000000006</v>
      </c>
      <c r="H5">
        <f t="shared" si="1"/>
        <v>1.3709010339734122</v>
      </c>
      <c r="J5" s="2">
        <f t="shared" si="2"/>
        <v>1.7837279987892083</v>
      </c>
      <c r="K5">
        <f t="shared" si="3"/>
        <v>1.3402650576446502</v>
      </c>
      <c r="L5">
        <f t="shared" si="4"/>
        <v>0.80711567694843289</v>
      </c>
    </row>
    <row r="6" spans="1:12" x14ac:dyDescent="0.2">
      <c r="A6">
        <f t="shared" si="5"/>
        <v>32</v>
      </c>
      <c r="B6">
        <v>16037.924000000001</v>
      </c>
      <c r="C6">
        <v>15.032999999999999</v>
      </c>
      <c r="D6">
        <f t="shared" si="0"/>
        <v>1.3372175769436041</v>
      </c>
      <c r="F6">
        <v>10852.075000000001</v>
      </c>
      <c r="G6">
        <v>13.537000000000001</v>
      </c>
      <c r="H6">
        <f t="shared" si="1"/>
        <v>1.9995568685376663</v>
      </c>
      <c r="J6" s="2">
        <f t="shared" si="2"/>
        <v>1.4778670438602755</v>
      </c>
      <c r="K6">
        <f t="shared" si="3"/>
        <v>1.1105119302651989</v>
      </c>
      <c r="L6">
        <f t="shared" si="4"/>
        <v>0.66875696209708202</v>
      </c>
    </row>
    <row r="7" spans="1:12" x14ac:dyDescent="0.2">
      <c r="A7">
        <f t="shared" si="5"/>
        <v>36</v>
      </c>
      <c r="B7">
        <v>17190.044999999998</v>
      </c>
      <c r="C7">
        <v>16.113</v>
      </c>
      <c r="D7">
        <f t="shared" si="0"/>
        <v>1.4332858921900016</v>
      </c>
      <c r="F7">
        <v>14625.974</v>
      </c>
      <c r="G7">
        <v>18.245000000000001</v>
      </c>
      <c r="H7">
        <f t="shared" si="1"/>
        <v>2.6949778434268836</v>
      </c>
      <c r="J7" s="2">
        <f t="shared" si="2"/>
        <v>1.1753094187094821</v>
      </c>
      <c r="K7">
        <f t="shared" si="3"/>
        <v>0.88314606741573032</v>
      </c>
      <c r="L7">
        <f t="shared" si="4"/>
        <v>0.53183587230070206</v>
      </c>
    </row>
    <row r="8" spans="1:12" x14ac:dyDescent="0.2">
      <c r="A8">
        <f t="shared" si="5"/>
        <v>40</v>
      </c>
      <c r="B8">
        <v>20493.752</v>
      </c>
      <c r="C8">
        <v>19.209</v>
      </c>
      <c r="D8">
        <f t="shared" si="0"/>
        <v>1.7086817292296743</v>
      </c>
      <c r="F8">
        <v>16746.338</v>
      </c>
      <c r="G8">
        <v>20.89</v>
      </c>
      <c r="H8">
        <f t="shared" si="1"/>
        <v>3.0856720827178732</v>
      </c>
      <c r="J8" s="2">
        <f t="shared" si="2"/>
        <v>1.2237751322109944</v>
      </c>
      <c r="K8">
        <f t="shared" si="3"/>
        <v>0.91953087601723305</v>
      </c>
      <c r="L8">
        <f t="shared" si="4"/>
        <v>0.55374702282838173</v>
      </c>
    </row>
    <row r="9" spans="1:12" x14ac:dyDescent="0.2">
      <c r="A9">
        <f t="shared" si="5"/>
        <v>44</v>
      </c>
      <c r="B9">
        <v>21465.580999999998</v>
      </c>
      <c r="C9">
        <v>20.12</v>
      </c>
      <c r="D9">
        <f t="shared" si="0"/>
        <v>1.7897171321828855</v>
      </c>
      <c r="F9">
        <v>17321.217000000001</v>
      </c>
      <c r="G9">
        <v>21.606999999999999</v>
      </c>
      <c r="H9">
        <f t="shared" si="1"/>
        <v>3.1915805022156576</v>
      </c>
      <c r="J9" s="2">
        <f t="shared" si="2"/>
        <v>1.2392651740348266</v>
      </c>
      <c r="K9">
        <f t="shared" si="3"/>
        <v>0.93117971027907631</v>
      </c>
      <c r="L9">
        <f t="shared" si="4"/>
        <v>0.56076202086722515</v>
      </c>
    </row>
    <row r="11" spans="1:12" ht="21" x14ac:dyDescent="0.25">
      <c r="A11" s="1" t="s">
        <v>4</v>
      </c>
      <c r="F11" s="1" t="s">
        <v>5</v>
      </c>
      <c r="J11" s="1" t="s">
        <v>44</v>
      </c>
    </row>
    <row r="12" spans="1:12" x14ac:dyDescent="0.2">
      <c r="A12" t="s">
        <v>10</v>
      </c>
      <c r="B12" t="s">
        <v>1</v>
      </c>
      <c r="C12" t="s">
        <v>2</v>
      </c>
      <c r="D12" t="s">
        <v>11</v>
      </c>
      <c r="F12" t="s">
        <v>1</v>
      </c>
      <c r="G12" t="s">
        <v>2</v>
      </c>
      <c r="H12" t="s">
        <v>11</v>
      </c>
      <c r="J12" s="2" t="s">
        <v>12</v>
      </c>
      <c r="K12" t="s">
        <v>13</v>
      </c>
      <c r="L12" t="s">
        <v>19</v>
      </c>
    </row>
    <row r="13" spans="1:12" x14ac:dyDescent="0.2">
      <c r="A13">
        <v>20</v>
      </c>
      <c r="B13">
        <v>5715.7110000000002</v>
      </c>
      <c r="C13">
        <v>9.5440000000000005</v>
      </c>
      <c r="D13">
        <f>C13/$C$13</f>
        <v>1</v>
      </c>
      <c r="F13">
        <v>607.28399999999999</v>
      </c>
      <c r="G13">
        <v>1.0900000000000001</v>
      </c>
      <c r="H13">
        <f>G13/$G$13</f>
        <v>1</v>
      </c>
      <c r="J13" s="2">
        <f>B13/F13</f>
        <v>9.4119242397296823</v>
      </c>
      <c r="K13">
        <f>C13/G13</f>
        <v>8.7559633027522938</v>
      </c>
      <c r="L13">
        <f>D13/H13</f>
        <v>1</v>
      </c>
    </row>
    <row r="14" spans="1:12" x14ac:dyDescent="0.2">
      <c r="A14">
        <f>A13+4</f>
        <v>24</v>
      </c>
      <c r="B14">
        <v>2045.0329999999999</v>
      </c>
      <c r="C14">
        <v>3.415</v>
      </c>
      <c r="D14">
        <f t="shared" ref="D14:D19" si="6">C14/$C$13</f>
        <v>0.35781642917015927</v>
      </c>
      <c r="F14">
        <v>3162.962</v>
      </c>
      <c r="G14">
        <v>5.6760000000000002</v>
      </c>
      <c r="H14">
        <f t="shared" ref="H14:H19" si="7">G14/$G$13</f>
        <v>5.2073394495412844</v>
      </c>
      <c r="J14" s="2">
        <f t="shared" ref="J14:J19" si="8">B14/F14</f>
        <v>0.64655629754641375</v>
      </c>
      <c r="K14">
        <f t="shared" ref="K14:K19" si="9">C14/G14</f>
        <v>0.6016560958421423</v>
      </c>
      <c r="L14">
        <f t="shared" ref="L14:L19" si="10">D14/H14</f>
        <v>6.8713866771577453E-2</v>
      </c>
    </row>
    <row r="15" spans="1:12" x14ac:dyDescent="0.2">
      <c r="A15">
        <f t="shared" ref="A15:A19" si="11">A14+4</f>
        <v>28</v>
      </c>
      <c r="B15">
        <v>5355.64</v>
      </c>
      <c r="C15">
        <v>8.9429999999999996</v>
      </c>
      <c r="D15">
        <f t="shared" si="6"/>
        <v>0.93702849958088841</v>
      </c>
      <c r="F15">
        <v>1353.77</v>
      </c>
      <c r="G15">
        <v>2.4289999999999998</v>
      </c>
      <c r="H15">
        <f t="shared" si="7"/>
        <v>2.2284403669724768</v>
      </c>
      <c r="J15" s="2">
        <f t="shared" si="8"/>
        <v>3.9560929847758484</v>
      </c>
      <c r="K15">
        <f t="shared" si="9"/>
        <v>3.6817620419925898</v>
      </c>
      <c r="L15">
        <f t="shared" si="10"/>
        <v>0.42048623488808912</v>
      </c>
    </row>
    <row r="16" spans="1:12" x14ac:dyDescent="0.2">
      <c r="A16">
        <f t="shared" si="11"/>
        <v>32</v>
      </c>
      <c r="B16">
        <v>10915.316999999999</v>
      </c>
      <c r="C16">
        <v>18.227</v>
      </c>
      <c r="D16">
        <f t="shared" si="6"/>
        <v>1.9097862531433361</v>
      </c>
      <c r="F16">
        <v>7926.933</v>
      </c>
      <c r="G16">
        <v>14.225</v>
      </c>
      <c r="H16">
        <f t="shared" si="7"/>
        <v>13.05045871559633</v>
      </c>
      <c r="J16" s="2">
        <f t="shared" si="8"/>
        <v>1.376991202019747</v>
      </c>
      <c r="K16">
        <f t="shared" si="9"/>
        <v>1.2813356766256592</v>
      </c>
      <c r="L16">
        <f t="shared" si="10"/>
        <v>0.14633863029358429</v>
      </c>
    </row>
    <row r="17" spans="1:12" x14ac:dyDescent="0.2">
      <c r="A17">
        <f t="shared" si="11"/>
        <v>36</v>
      </c>
      <c r="B17">
        <v>10951.781999999999</v>
      </c>
      <c r="C17">
        <v>18.288</v>
      </c>
      <c r="D17">
        <f t="shared" si="6"/>
        <v>1.9161777032690694</v>
      </c>
      <c r="F17">
        <v>13735.903</v>
      </c>
      <c r="G17">
        <v>24.65</v>
      </c>
      <c r="H17">
        <f t="shared" si="7"/>
        <v>22.614678899082566</v>
      </c>
      <c r="J17" s="2">
        <f t="shared" si="8"/>
        <v>0.79731066825384533</v>
      </c>
      <c r="K17">
        <f t="shared" si="9"/>
        <v>0.7419066937119676</v>
      </c>
      <c r="L17">
        <f t="shared" si="10"/>
        <v>8.4731590124271228E-2</v>
      </c>
    </row>
    <row r="18" spans="1:12" x14ac:dyDescent="0.2">
      <c r="A18">
        <f t="shared" si="11"/>
        <v>40</v>
      </c>
      <c r="B18">
        <v>11700.004000000001</v>
      </c>
      <c r="C18">
        <v>19.536999999999999</v>
      </c>
      <c r="D18">
        <f t="shared" si="6"/>
        <v>2.0470452640402343</v>
      </c>
      <c r="F18">
        <v>14978.731</v>
      </c>
      <c r="G18">
        <v>26.88</v>
      </c>
      <c r="H18">
        <f t="shared" si="7"/>
        <v>24.660550458715594</v>
      </c>
      <c r="J18" s="2">
        <f t="shared" si="8"/>
        <v>0.78110782548935564</v>
      </c>
      <c r="K18">
        <f t="shared" si="9"/>
        <v>0.72682291666666665</v>
      </c>
      <c r="L18">
        <f t="shared" si="10"/>
        <v>8.3008903936155343E-2</v>
      </c>
    </row>
    <row r="19" spans="1:12" x14ac:dyDescent="0.2">
      <c r="A19">
        <f t="shared" si="11"/>
        <v>44</v>
      </c>
      <c r="B19">
        <v>13202.539000000001</v>
      </c>
      <c r="C19">
        <v>22.045999999999999</v>
      </c>
      <c r="D19">
        <f t="shared" si="6"/>
        <v>2.3099329421626149</v>
      </c>
      <c r="F19">
        <v>13958.781999999999</v>
      </c>
      <c r="G19">
        <v>25.05</v>
      </c>
      <c r="H19">
        <f t="shared" si="7"/>
        <v>22.98165137614679</v>
      </c>
      <c r="J19" s="2">
        <f t="shared" si="8"/>
        <v>0.94582313843715027</v>
      </c>
      <c r="K19">
        <f t="shared" si="9"/>
        <v>0.88007984031936126</v>
      </c>
      <c r="L19">
        <f t="shared" si="10"/>
        <v>0.10051205217394213</v>
      </c>
    </row>
    <row r="20" spans="1:12" x14ac:dyDescent="0.2">
      <c r="J20" s="2"/>
    </row>
    <row r="21" spans="1:12" ht="21" x14ac:dyDescent="0.25">
      <c r="A21" s="1" t="s">
        <v>33</v>
      </c>
      <c r="F21" s="1" t="s">
        <v>34</v>
      </c>
      <c r="J21" s="1" t="s">
        <v>35</v>
      </c>
    </row>
    <row r="22" spans="1:12" x14ac:dyDescent="0.2">
      <c r="A22" t="s">
        <v>10</v>
      </c>
      <c r="B22" t="s">
        <v>1</v>
      </c>
      <c r="C22" t="s">
        <v>2</v>
      </c>
      <c r="D22" t="s">
        <v>11</v>
      </c>
      <c r="F22" t="s">
        <v>1</v>
      </c>
      <c r="G22" t="s">
        <v>2</v>
      </c>
      <c r="H22" t="s">
        <v>11</v>
      </c>
      <c r="J22" s="2" t="s">
        <v>12</v>
      </c>
      <c r="K22" t="s">
        <v>13</v>
      </c>
      <c r="L22" t="s">
        <v>19</v>
      </c>
    </row>
    <row r="23" spans="1:12" x14ac:dyDescent="0.2">
      <c r="A23">
        <v>20</v>
      </c>
      <c r="B23">
        <v>10750.852999999999</v>
      </c>
      <c r="C23">
        <v>10.576000000000001</v>
      </c>
      <c r="D23">
        <f>C23/$C$23</f>
        <v>1</v>
      </c>
      <c r="F23">
        <v>10126.125</v>
      </c>
      <c r="G23">
        <v>9.6129999999999995</v>
      </c>
      <c r="H23">
        <f>G23/$G$23</f>
        <v>1</v>
      </c>
      <c r="J23" s="2">
        <f>B23/F23</f>
        <v>1.0616946759002086</v>
      </c>
      <c r="K23">
        <f>C23/G23</f>
        <v>1.1001768438572768</v>
      </c>
      <c r="L23">
        <f>D23/H23</f>
        <v>1</v>
      </c>
    </row>
    <row r="24" spans="1:12" x14ac:dyDescent="0.2">
      <c r="A24">
        <f>A23+4</f>
        <v>24</v>
      </c>
      <c r="B24">
        <v>10171.316999999999</v>
      </c>
      <c r="C24">
        <v>10.006</v>
      </c>
      <c r="D24">
        <f t="shared" ref="D24:D29" si="12">C24/$C$23</f>
        <v>0.94610438729198187</v>
      </c>
      <c r="F24">
        <v>7119.518</v>
      </c>
      <c r="G24">
        <v>6.7590000000000003</v>
      </c>
      <c r="H24">
        <f t="shared" ref="H24:H29" si="13">G24/$G$23</f>
        <v>0.70311037137210031</v>
      </c>
      <c r="J24" s="2">
        <f t="shared" ref="J24:J29" si="14">B24/F24</f>
        <v>1.4286524733837318</v>
      </c>
      <c r="K24">
        <f t="shared" ref="K24:K29" si="15">C24/G24</f>
        <v>1.4803965083592248</v>
      </c>
      <c r="L24">
        <f t="shared" ref="L24:L29" si="16">D24/H24</f>
        <v>1.3455986795439889</v>
      </c>
    </row>
    <row r="25" spans="1:12" x14ac:dyDescent="0.2">
      <c r="A25">
        <f t="shared" ref="A25:A29" si="17">A24+4</f>
        <v>28</v>
      </c>
      <c r="B25">
        <v>11966.974</v>
      </c>
      <c r="C25">
        <v>11.772</v>
      </c>
      <c r="D25">
        <f t="shared" si="12"/>
        <v>1.1130862329803328</v>
      </c>
      <c r="F25">
        <v>7563.4679999999998</v>
      </c>
      <c r="G25">
        <v>7.18</v>
      </c>
      <c r="H25">
        <f t="shared" si="13"/>
        <v>0.74690523249765939</v>
      </c>
      <c r="J25" s="2">
        <f t="shared" si="14"/>
        <v>1.5822072625943548</v>
      </c>
      <c r="K25">
        <f t="shared" si="15"/>
        <v>1.6395543175487466</v>
      </c>
      <c r="L25">
        <f t="shared" si="16"/>
        <v>1.4902643395041699</v>
      </c>
    </row>
    <row r="26" spans="1:12" x14ac:dyDescent="0.2">
      <c r="A26">
        <f t="shared" si="17"/>
        <v>32</v>
      </c>
      <c r="B26">
        <v>16615.217000000001</v>
      </c>
      <c r="C26">
        <v>16.344999999999999</v>
      </c>
      <c r="D26">
        <f t="shared" si="12"/>
        <v>1.5454803328290467</v>
      </c>
      <c r="F26">
        <v>13063.489</v>
      </c>
      <c r="G26">
        <v>12.401999999999999</v>
      </c>
      <c r="H26">
        <f t="shared" si="13"/>
        <v>1.2901279517320294</v>
      </c>
      <c r="J26" s="2">
        <f t="shared" si="14"/>
        <v>1.2718820370270147</v>
      </c>
      <c r="K26">
        <f t="shared" si="15"/>
        <v>1.3179325915174971</v>
      </c>
      <c r="L26">
        <f t="shared" si="16"/>
        <v>1.1979279502891169</v>
      </c>
    </row>
    <row r="27" spans="1:12" x14ac:dyDescent="0.2">
      <c r="A27">
        <f t="shared" si="17"/>
        <v>36</v>
      </c>
      <c r="B27">
        <v>19760.560000000001</v>
      </c>
      <c r="C27">
        <v>19.439</v>
      </c>
      <c r="D27">
        <f t="shared" si="12"/>
        <v>1.8380295007564296</v>
      </c>
      <c r="F27">
        <v>20849.409</v>
      </c>
      <c r="G27">
        <v>19.792999999999999</v>
      </c>
      <c r="H27">
        <f t="shared" si="13"/>
        <v>2.0589826276916674</v>
      </c>
      <c r="J27" s="2">
        <f t="shared" si="14"/>
        <v>0.94777554605984282</v>
      </c>
      <c r="K27">
        <f t="shared" si="15"/>
        <v>0.9821148891022079</v>
      </c>
      <c r="L27">
        <f t="shared" si="16"/>
        <v>0.89268820243376745</v>
      </c>
    </row>
    <row r="28" spans="1:12" x14ac:dyDescent="0.2">
      <c r="A28">
        <f t="shared" si="17"/>
        <v>40</v>
      </c>
      <c r="B28">
        <v>17871.923999999999</v>
      </c>
      <c r="C28">
        <v>17.581</v>
      </c>
      <c r="D28">
        <f t="shared" si="12"/>
        <v>1.6623487140695914</v>
      </c>
      <c r="F28">
        <v>22298.945</v>
      </c>
      <c r="G28">
        <v>21.17</v>
      </c>
      <c r="H28">
        <f t="shared" si="13"/>
        <v>2.2022261520857174</v>
      </c>
      <c r="J28" s="2">
        <f t="shared" si="14"/>
        <v>0.80146948656091122</v>
      </c>
      <c r="K28">
        <f t="shared" si="15"/>
        <v>0.83046764289088326</v>
      </c>
      <c r="L28">
        <f t="shared" si="16"/>
        <v>0.7548492294922523</v>
      </c>
    </row>
    <row r="29" spans="1:12" x14ac:dyDescent="0.2">
      <c r="A29">
        <f t="shared" si="17"/>
        <v>44</v>
      </c>
      <c r="B29">
        <v>14517.338</v>
      </c>
      <c r="C29">
        <v>14.281000000000001</v>
      </c>
      <c r="D29">
        <f t="shared" si="12"/>
        <v>1.3503214826021179</v>
      </c>
      <c r="F29">
        <v>24313.773000000001</v>
      </c>
      <c r="G29">
        <v>23.082000000000001</v>
      </c>
      <c r="H29">
        <f t="shared" si="13"/>
        <v>2.4011234786226985</v>
      </c>
      <c r="J29" s="2">
        <f t="shared" si="14"/>
        <v>0.59708289618398591</v>
      </c>
      <c r="K29">
        <f t="shared" si="15"/>
        <v>0.61870721774542936</v>
      </c>
      <c r="L29">
        <f t="shared" si="16"/>
        <v>0.56237069631115844</v>
      </c>
    </row>
    <row r="30" spans="1:12" x14ac:dyDescent="0.2">
      <c r="J30" s="2"/>
    </row>
    <row r="31" spans="1:12" ht="21" x14ac:dyDescent="0.25">
      <c r="A31" s="1" t="s">
        <v>36</v>
      </c>
      <c r="F31" s="1" t="s">
        <v>37</v>
      </c>
      <c r="J31" s="1" t="s">
        <v>38</v>
      </c>
    </row>
    <row r="32" spans="1:12" x14ac:dyDescent="0.2">
      <c r="A32" t="s">
        <v>10</v>
      </c>
      <c r="B32" t="s">
        <v>1</v>
      </c>
      <c r="C32" t="s">
        <v>2</v>
      </c>
      <c r="D32" t="s">
        <v>11</v>
      </c>
      <c r="F32" t="s">
        <v>1</v>
      </c>
      <c r="G32" t="s">
        <v>2</v>
      </c>
      <c r="H32" t="s">
        <v>11</v>
      </c>
      <c r="J32" s="2" t="s">
        <v>12</v>
      </c>
      <c r="K32" t="s">
        <v>13</v>
      </c>
      <c r="L32" t="s">
        <v>19</v>
      </c>
    </row>
    <row r="33" spans="1:18" x14ac:dyDescent="0.2">
      <c r="A33">
        <v>20</v>
      </c>
      <c r="B33">
        <v>6016.125</v>
      </c>
      <c r="C33">
        <v>7.5960000000000001</v>
      </c>
      <c r="D33">
        <f>C33/$C$33</f>
        <v>1</v>
      </c>
      <c r="F33">
        <v>3143.4969999999998</v>
      </c>
      <c r="G33">
        <v>6.3620000000000001</v>
      </c>
      <c r="H33">
        <f>G33/$G$33</f>
        <v>1</v>
      </c>
      <c r="J33" s="2">
        <f>B33/F33</f>
        <v>1.9138319521221112</v>
      </c>
      <c r="K33">
        <f>C33/G33</f>
        <v>1.1939641622131405</v>
      </c>
      <c r="L33">
        <f>D33/H33</f>
        <v>1</v>
      </c>
    </row>
    <row r="34" spans="1:18" x14ac:dyDescent="0.2">
      <c r="A34">
        <f>A33+4</f>
        <v>24</v>
      </c>
      <c r="B34">
        <v>5972.0039999999999</v>
      </c>
      <c r="C34">
        <v>7.54</v>
      </c>
      <c r="D34">
        <f t="shared" ref="D34:D39" si="18">C34/$C$33</f>
        <v>0.99262769878883628</v>
      </c>
      <c r="F34">
        <v>2236.134</v>
      </c>
      <c r="G34">
        <v>4.5250000000000004</v>
      </c>
      <c r="H34">
        <f t="shared" ref="H34:H39" si="19">G34/$G$33</f>
        <v>0.71125432254008181</v>
      </c>
      <c r="J34" s="2">
        <f t="shared" ref="J34:J39" si="20">B34/F34</f>
        <v>2.6706825261813467</v>
      </c>
      <c r="K34">
        <f t="shared" ref="K34:K39" si="21">C34/G34</f>
        <v>1.6662983425414364</v>
      </c>
      <c r="L34">
        <f t="shared" ref="L34:L39" si="22">D34/H34</f>
        <v>1.3956016397115085</v>
      </c>
    </row>
    <row r="35" spans="1:18" x14ac:dyDescent="0.2">
      <c r="A35">
        <f t="shared" ref="A35:A39" si="23">A34+4</f>
        <v>28</v>
      </c>
      <c r="B35">
        <v>9085.3680000000004</v>
      </c>
      <c r="C35">
        <v>11.471</v>
      </c>
      <c r="D35">
        <f t="shared" si="18"/>
        <v>1.5101369141653502</v>
      </c>
      <c r="F35">
        <v>1817.7190000000001</v>
      </c>
      <c r="G35">
        <v>3.6789999999999998</v>
      </c>
      <c r="H35">
        <f t="shared" si="19"/>
        <v>0.57827727129833384</v>
      </c>
      <c r="J35" s="2">
        <f t="shared" si="20"/>
        <v>4.9982246980969007</v>
      </c>
      <c r="K35">
        <f>C35/G35</f>
        <v>3.1179668388148953</v>
      </c>
      <c r="L35">
        <f t="shared" si="22"/>
        <v>2.6114408936993634</v>
      </c>
    </row>
    <row r="36" spans="1:18" x14ac:dyDescent="0.2">
      <c r="A36">
        <f t="shared" si="23"/>
        <v>32</v>
      </c>
      <c r="B36">
        <v>12054.439</v>
      </c>
      <c r="C36">
        <v>15.218999999999999</v>
      </c>
      <c r="D36">
        <f t="shared" si="18"/>
        <v>2.0035545023696684</v>
      </c>
      <c r="F36">
        <v>5670.518</v>
      </c>
      <c r="G36">
        <v>11.475</v>
      </c>
      <c r="H36">
        <f t="shared" si="19"/>
        <v>1.8036780886513675</v>
      </c>
      <c r="J36" s="2">
        <f t="shared" si="20"/>
        <v>2.1258091412460027</v>
      </c>
      <c r="K36">
        <f t="shared" si="21"/>
        <v>1.3262745098039215</v>
      </c>
      <c r="L36">
        <f t="shared" si="22"/>
        <v>1.1108160125556279</v>
      </c>
    </row>
    <row r="37" spans="1:18" x14ac:dyDescent="0.2">
      <c r="A37">
        <f t="shared" si="23"/>
        <v>36</v>
      </c>
      <c r="B37">
        <v>11921.023999999999</v>
      </c>
      <c r="C37">
        <v>15.051</v>
      </c>
      <c r="D37">
        <f t="shared" si="18"/>
        <v>1.981437598736177</v>
      </c>
      <c r="F37">
        <v>7241.2960000000003</v>
      </c>
      <c r="G37">
        <v>14.654</v>
      </c>
      <c r="H37">
        <f t="shared" si="19"/>
        <v>2.3033637220999683</v>
      </c>
      <c r="J37" s="2">
        <f t="shared" si="20"/>
        <v>1.6462555873976148</v>
      </c>
      <c r="K37">
        <f t="shared" si="21"/>
        <v>1.0270915790910331</v>
      </c>
      <c r="L37">
        <f t="shared" si="22"/>
        <v>0.8602365226668186</v>
      </c>
    </row>
    <row r="38" spans="1:18" x14ac:dyDescent="0.2">
      <c r="A38">
        <f t="shared" si="23"/>
        <v>40</v>
      </c>
      <c r="B38">
        <v>17567.560000000001</v>
      </c>
      <c r="C38">
        <v>22.18</v>
      </c>
      <c r="D38">
        <f t="shared" si="18"/>
        <v>2.9199578725645075</v>
      </c>
      <c r="F38">
        <v>13772.217000000001</v>
      </c>
      <c r="G38">
        <v>27.870999999999999</v>
      </c>
      <c r="H38">
        <f t="shared" si="19"/>
        <v>4.3808550770198051</v>
      </c>
      <c r="J38" s="2">
        <f t="shared" si="20"/>
        <v>1.2755796688361793</v>
      </c>
      <c r="K38">
        <f t="shared" si="21"/>
        <v>0.79580926410964803</v>
      </c>
      <c r="L38">
        <f t="shared" si="22"/>
        <v>0.66652692710184047</v>
      </c>
    </row>
    <row r="39" spans="1:18" x14ac:dyDescent="0.2">
      <c r="A39">
        <f t="shared" si="23"/>
        <v>44</v>
      </c>
      <c r="B39">
        <v>16589.438999999998</v>
      </c>
      <c r="C39">
        <v>20.945</v>
      </c>
      <c r="D39">
        <f t="shared" si="18"/>
        <v>2.7573723012111637</v>
      </c>
      <c r="F39">
        <v>15532.974</v>
      </c>
      <c r="G39">
        <v>31.434000000000001</v>
      </c>
      <c r="H39">
        <f t="shared" si="19"/>
        <v>4.9408990883370008</v>
      </c>
      <c r="J39" s="2">
        <f t="shared" si="20"/>
        <v>1.0680143416193189</v>
      </c>
      <c r="K39">
        <f t="shared" si="21"/>
        <v>0.66631672711077172</v>
      </c>
      <c r="L39">
        <f t="shared" si="22"/>
        <v>0.55807096075286078</v>
      </c>
    </row>
    <row r="41" spans="1:18" x14ac:dyDescent="0.2">
      <c r="A41" s="4" t="s">
        <v>42</v>
      </c>
      <c r="B41" s="4"/>
      <c r="C41" s="4"/>
      <c r="J41" s="4" t="s">
        <v>29</v>
      </c>
    </row>
    <row r="42" spans="1:18" x14ac:dyDescent="0.2">
      <c r="A42" s="4" t="s">
        <v>10</v>
      </c>
      <c r="B42" s="4" t="s">
        <v>30</v>
      </c>
      <c r="C42" s="4" t="s">
        <v>31</v>
      </c>
      <c r="D42" s="4" t="s">
        <v>39</v>
      </c>
      <c r="E42" s="4" t="s">
        <v>40</v>
      </c>
      <c r="F42" s="4" t="s">
        <v>21</v>
      </c>
      <c r="G42" s="4" t="s">
        <v>32</v>
      </c>
      <c r="H42" s="4" t="s">
        <v>41</v>
      </c>
      <c r="K42" s="4" t="s">
        <v>10</v>
      </c>
      <c r="L42" s="4" t="s">
        <v>30</v>
      </c>
      <c r="M42" s="4" t="s">
        <v>31</v>
      </c>
      <c r="N42" s="4" t="s">
        <v>39</v>
      </c>
      <c r="O42" s="4" t="s">
        <v>40</v>
      </c>
      <c r="P42" s="4" t="s">
        <v>21</v>
      </c>
      <c r="Q42" s="4" t="s">
        <v>32</v>
      </c>
      <c r="R42" s="4" t="s">
        <v>41</v>
      </c>
    </row>
    <row r="43" spans="1:18" x14ac:dyDescent="0.2">
      <c r="A43" s="4">
        <v>20</v>
      </c>
      <c r="B43">
        <f t="shared" ref="B43:B49" si="24">C3</f>
        <v>11.242000000000001</v>
      </c>
      <c r="C43">
        <f t="shared" ref="C43:C49" si="25">C13</f>
        <v>9.5440000000000005</v>
      </c>
      <c r="D43">
        <f>C23</f>
        <v>10.576000000000001</v>
      </c>
      <c r="E43">
        <f>C33</f>
        <v>7.5960000000000001</v>
      </c>
      <c r="F43" s="5">
        <f>AVERAGE(B43:E43)</f>
        <v>9.7394999999999996</v>
      </c>
      <c r="G43" s="5">
        <f>STDEV(B43:E43)</f>
        <v>1.5906027159539318</v>
      </c>
      <c r="H43">
        <f>G43/SQRT(4)</f>
        <v>0.79530135797696588</v>
      </c>
      <c r="K43" s="4">
        <v>20</v>
      </c>
      <c r="L43" s="5">
        <f t="shared" ref="L43:L49" si="26">K3</f>
        <v>1.6605612998522898</v>
      </c>
      <c r="M43" s="5">
        <f>K13</f>
        <v>8.7559633027522938</v>
      </c>
      <c r="N43" s="5">
        <f>K23</f>
        <v>1.1001768438572768</v>
      </c>
      <c r="O43" s="5">
        <f>K33</f>
        <v>1.1939641622131405</v>
      </c>
      <c r="P43" s="5">
        <f>AVERAGE(L43:O43)</f>
        <v>3.1776664021687502</v>
      </c>
      <c r="Q43" s="5">
        <f>STDEV(L43:O43)</f>
        <v>3.7269308930285932</v>
      </c>
      <c r="R43">
        <f>Q43/SQRT(4)</f>
        <v>1.8634654465142966</v>
      </c>
    </row>
    <row r="44" spans="1:18" x14ac:dyDescent="0.2">
      <c r="A44" s="4">
        <f>A43+4</f>
        <v>24</v>
      </c>
      <c r="B44">
        <f t="shared" si="24"/>
        <v>5.8440000000000003</v>
      </c>
      <c r="C44" s="2">
        <f t="shared" si="25"/>
        <v>3.415</v>
      </c>
      <c r="D44">
        <f t="shared" ref="D44:D49" si="27">C24</f>
        <v>10.006</v>
      </c>
      <c r="E44">
        <f t="shared" ref="E44:E49" si="28">C34</f>
        <v>7.54</v>
      </c>
      <c r="F44" s="5">
        <f>AVERAGE(B44,D44:E44)</f>
        <v>7.7966666666666669</v>
      </c>
      <c r="G44" s="5">
        <f>STDEV(B44,D44:E44)</f>
        <v>2.0928376270827416</v>
      </c>
      <c r="H44">
        <f>G44/SQRT(3)</f>
        <v>1.2083003673663986</v>
      </c>
      <c r="K44" s="4">
        <f>K43+4</f>
        <v>24</v>
      </c>
      <c r="L44" s="5">
        <f t="shared" si="26"/>
        <v>0.60428083962361712</v>
      </c>
      <c r="M44" s="5">
        <f t="shared" ref="M44:M49" si="29">K14</f>
        <v>0.6016560958421423</v>
      </c>
      <c r="N44" s="5">
        <f t="shared" ref="N44:N49" si="30">K24</f>
        <v>1.4803965083592248</v>
      </c>
      <c r="O44" s="5">
        <f t="shared" ref="O44:O49" si="31">K34</f>
        <v>1.6662983425414364</v>
      </c>
      <c r="P44" s="5">
        <f t="shared" ref="P44:P65" si="32">AVERAGE(L44:O44)</f>
        <v>1.0881579465916051</v>
      </c>
      <c r="Q44" s="5">
        <f t="shared" ref="Q44:Q65" si="33">STDEV(L44:O44)</f>
        <v>0.56536669875899137</v>
      </c>
      <c r="R44">
        <f t="shared" ref="R44:R65" si="34">Q44/SQRT(4)</f>
        <v>0.28268334937949569</v>
      </c>
    </row>
    <row r="45" spans="1:18" x14ac:dyDescent="0.2">
      <c r="A45" s="4">
        <f t="shared" ref="A45:A49" si="35">A44+4</f>
        <v>28</v>
      </c>
      <c r="B45">
        <f t="shared" si="24"/>
        <v>12.439</v>
      </c>
      <c r="C45">
        <f t="shared" si="25"/>
        <v>8.9429999999999996</v>
      </c>
      <c r="D45">
        <f t="shared" si="27"/>
        <v>11.772</v>
      </c>
      <c r="E45">
        <f t="shared" si="28"/>
        <v>11.471</v>
      </c>
      <c r="F45" s="5">
        <f t="shared" ref="F45:F49" si="36">AVERAGE(B45:E45)</f>
        <v>11.15625</v>
      </c>
      <c r="G45" s="5">
        <f t="shared" ref="G45:G49" si="37">STDEV(B45:E45)</f>
        <v>1.5299388604341846</v>
      </c>
      <c r="H45">
        <f t="shared" ref="H45:H49" si="38">G45/SQRT(4)</f>
        <v>0.76496943021709229</v>
      </c>
      <c r="K45" s="4">
        <f t="shared" ref="K45:K49" si="39">K44+4</f>
        <v>28</v>
      </c>
      <c r="L45" s="5">
        <f t="shared" si="26"/>
        <v>1.3402650576446502</v>
      </c>
      <c r="M45" s="5">
        <f t="shared" si="29"/>
        <v>3.6817620419925898</v>
      </c>
      <c r="N45" s="5">
        <f t="shared" si="30"/>
        <v>1.6395543175487466</v>
      </c>
      <c r="O45" s="5">
        <f t="shared" si="31"/>
        <v>3.1179668388148953</v>
      </c>
      <c r="P45" s="5">
        <f t="shared" si="32"/>
        <v>2.4448870640002207</v>
      </c>
      <c r="Q45" s="5">
        <f t="shared" si="33"/>
        <v>1.1330852724427929</v>
      </c>
      <c r="R45">
        <f t="shared" si="34"/>
        <v>0.56654263622139645</v>
      </c>
    </row>
    <row r="46" spans="1:18" x14ac:dyDescent="0.2">
      <c r="A46" s="4">
        <f t="shared" si="35"/>
        <v>32</v>
      </c>
      <c r="B46">
        <f t="shared" si="24"/>
        <v>15.032999999999999</v>
      </c>
      <c r="C46">
        <f t="shared" si="25"/>
        <v>18.227</v>
      </c>
      <c r="D46">
        <f t="shared" si="27"/>
        <v>16.344999999999999</v>
      </c>
      <c r="E46">
        <f t="shared" si="28"/>
        <v>15.218999999999999</v>
      </c>
      <c r="F46" s="5">
        <f t="shared" si="36"/>
        <v>16.206</v>
      </c>
      <c r="G46" s="5">
        <f t="shared" si="37"/>
        <v>1.4667265139304833</v>
      </c>
      <c r="H46">
        <f t="shared" si="38"/>
        <v>0.73336325696524163</v>
      </c>
      <c r="K46" s="4">
        <f t="shared" si="39"/>
        <v>32</v>
      </c>
      <c r="L46" s="5">
        <f t="shared" si="26"/>
        <v>1.1105119302651989</v>
      </c>
      <c r="M46" s="5">
        <f t="shared" si="29"/>
        <v>1.2813356766256592</v>
      </c>
      <c r="N46" s="5">
        <f t="shared" si="30"/>
        <v>1.3179325915174971</v>
      </c>
      <c r="O46" s="5">
        <f t="shared" si="31"/>
        <v>1.3262745098039215</v>
      </c>
      <c r="P46" s="5">
        <f t="shared" si="32"/>
        <v>1.2590136770530691</v>
      </c>
      <c r="Q46" s="5">
        <f t="shared" si="33"/>
        <v>0.10090672023866423</v>
      </c>
      <c r="R46">
        <f t="shared" si="34"/>
        <v>5.0453360119332116E-2</v>
      </c>
    </row>
    <row r="47" spans="1:18" x14ac:dyDescent="0.2">
      <c r="A47" s="4">
        <f t="shared" si="35"/>
        <v>36</v>
      </c>
      <c r="B47">
        <f t="shared" si="24"/>
        <v>16.113</v>
      </c>
      <c r="C47">
        <f t="shared" si="25"/>
        <v>18.288</v>
      </c>
      <c r="D47">
        <f t="shared" si="27"/>
        <v>19.439</v>
      </c>
      <c r="E47">
        <f t="shared" si="28"/>
        <v>15.051</v>
      </c>
      <c r="F47" s="5">
        <f t="shared" si="36"/>
        <v>17.222749999999998</v>
      </c>
      <c r="G47" s="5">
        <f t="shared" si="37"/>
        <v>1.9995470112003149</v>
      </c>
      <c r="H47">
        <f t="shared" si="38"/>
        <v>0.99977350560015743</v>
      </c>
      <c r="K47" s="4">
        <f t="shared" si="39"/>
        <v>36</v>
      </c>
      <c r="L47" s="5">
        <f t="shared" si="26"/>
        <v>0.88314606741573032</v>
      </c>
      <c r="M47" s="5">
        <f t="shared" si="29"/>
        <v>0.7419066937119676</v>
      </c>
      <c r="N47" s="5">
        <f t="shared" si="30"/>
        <v>0.9821148891022079</v>
      </c>
      <c r="O47" s="5">
        <f t="shared" si="31"/>
        <v>1.0270915790910331</v>
      </c>
      <c r="P47" s="5">
        <f t="shared" si="32"/>
        <v>0.90856480733023481</v>
      </c>
      <c r="Q47" s="5">
        <f t="shared" si="33"/>
        <v>0.12633190323685731</v>
      </c>
      <c r="R47">
        <f t="shared" si="34"/>
        <v>6.3165951618428653E-2</v>
      </c>
    </row>
    <row r="48" spans="1:18" x14ac:dyDescent="0.2">
      <c r="A48" s="4">
        <f t="shared" si="35"/>
        <v>40</v>
      </c>
      <c r="B48">
        <f t="shared" si="24"/>
        <v>19.209</v>
      </c>
      <c r="C48">
        <f t="shared" si="25"/>
        <v>19.536999999999999</v>
      </c>
      <c r="D48">
        <f t="shared" si="27"/>
        <v>17.581</v>
      </c>
      <c r="E48">
        <f t="shared" si="28"/>
        <v>22.18</v>
      </c>
      <c r="F48" s="5">
        <f t="shared" si="36"/>
        <v>19.626750000000001</v>
      </c>
      <c r="G48" s="5">
        <f t="shared" si="37"/>
        <v>1.9049714564790727</v>
      </c>
      <c r="H48">
        <f t="shared" si="38"/>
        <v>0.95248572823953637</v>
      </c>
      <c r="K48" s="4">
        <f t="shared" si="39"/>
        <v>40</v>
      </c>
      <c r="L48" s="5">
        <f t="shared" si="26"/>
        <v>0.91953087601723305</v>
      </c>
      <c r="M48" s="5">
        <f t="shared" si="29"/>
        <v>0.72682291666666665</v>
      </c>
      <c r="N48" s="5">
        <f t="shared" si="30"/>
        <v>0.83046764289088326</v>
      </c>
      <c r="O48" s="5">
        <f t="shared" si="31"/>
        <v>0.79580926410964803</v>
      </c>
      <c r="P48" s="5">
        <f t="shared" si="32"/>
        <v>0.8181576749211078</v>
      </c>
      <c r="Q48" s="5">
        <f t="shared" si="33"/>
        <v>8.0144766398244055E-2</v>
      </c>
      <c r="R48">
        <f t="shared" si="34"/>
        <v>4.0072383199122028E-2</v>
      </c>
    </row>
    <row r="49" spans="1:18" x14ac:dyDescent="0.2">
      <c r="A49" s="4">
        <f t="shared" si="35"/>
        <v>44</v>
      </c>
      <c r="B49">
        <f t="shared" si="24"/>
        <v>20.12</v>
      </c>
      <c r="C49">
        <f t="shared" si="25"/>
        <v>22.045999999999999</v>
      </c>
      <c r="D49">
        <f t="shared" si="27"/>
        <v>14.281000000000001</v>
      </c>
      <c r="E49">
        <f t="shared" si="28"/>
        <v>20.945</v>
      </c>
      <c r="F49" s="5">
        <f t="shared" si="36"/>
        <v>19.347999999999999</v>
      </c>
      <c r="G49" s="5">
        <f t="shared" si="37"/>
        <v>3.4689136628057096</v>
      </c>
      <c r="H49">
        <f t="shared" si="38"/>
        <v>1.7344568314028548</v>
      </c>
      <c r="K49" s="4">
        <f t="shared" si="39"/>
        <v>44</v>
      </c>
      <c r="L49" s="5">
        <f t="shared" si="26"/>
        <v>0.93117971027907631</v>
      </c>
      <c r="M49" s="5">
        <f t="shared" si="29"/>
        <v>0.88007984031936126</v>
      </c>
      <c r="N49" s="5">
        <f t="shared" si="30"/>
        <v>0.61870721774542936</v>
      </c>
      <c r="O49" s="5">
        <f t="shared" si="31"/>
        <v>0.66631672711077172</v>
      </c>
      <c r="P49" s="5">
        <f t="shared" si="32"/>
        <v>0.77407087386365969</v>
      </c>
      <c r="Q49" s="5">
        <f t="shared" si="33"/>
        <v>0.15456380476864406</v>
      </c>
      <c r="R49">
        <f t="shared" si="34"/>
        <v>7.7281902384322032E-2</v>
      </c>
    </row>
    <row r="50" spans="1:18" x14ac:dyDescent="0.2">
      <c r="P50" s="5"/>
      <c r="Q50" s="5"/>
    </row>
    <row r="51" spans="1:18" x14ac:dyDescent="0.2">
      <c r="A51" s="4" t="s">
        <v>43</v>
      </c>
      <c r="B51" s="4"/>
      <c r="C51" s="4"/>
      <c r="J51" t="s">
        <v>57</v>
      </c>
      <c r="K51" s="3" t="s">
        <v>62</v>
      </c>
      <c r="L51" s="3">
        <v>1.6605612999999999</v>
      </c>
      <c r="M51" s="7" t="s">
        <v>54</v>
      </c>
      <c r="N51" s="3">
        <v>1.10017684</v>
      </c>
      <c r="O51" s="3">
        <v>1.1939641599999999</v>
      </c>
      <c r="P51" s="5">
        <f t="shared" si="32"/>
        <v>1.3182341</v>
      </c>
      <c r="Q51" s="5">
        <f t="shared" si="33"/>
        <v>0.30014987796611731</v>
      </c>
      <c r="R51">
        <f t="shared" si="34"/>
        <v>0.15007493898305865</v>
      </c>
    </row>
    <row r="52" spans="1:18" x14ac:dyDescent="0.2">
      <c r="A52" s="4" t="s">
        <v>10</v>
      </c>
      <c r="B52" s="4" t="s">
        <v>30</v>
      </c>
      <c r="C52" s="4" t="s">
        <v>31</v>
      </c>
      <c r="D52" s="4" t="s">
        <v>39</v>
      </c>
      <c r="E52" s="4" t="s">
        <v>40</v>
      </c>
      <c r="F52" s="4" t="s">
        <v>21</v>
      </c>
      <c r="G52" s="4" t="s">
        <v>32</v>
      </c>
      <c r="H52" s="4" t="s">
        <v>41</v>
      </c>
      <c r="K52" s="3" t="s">
        <v>63</v>
      </c>
      <c r="L52" s="3">
        <v>0.60428084000000004</v>
      </c>
      <c r="M52" s="3">
        <v>0.60165610000000003</v>
      </c>
      <c r="N52" s="3">
        <v>1.4803965100000001</v>
      </c>
      <c r="O52" s="3">
        <v>1.66629834</v>
      </c>
      <c r="P52" s="5">
        <f t="shared" si="32"/>
        <v>1.0881579475000001</v>
      </c>
      <c r="Q52" s="5">
        <f t="shared" si="33"/>
        <v>0.56536669697215125</v>
      </c>
      <c r="R52">
        <f t="shared" si="34"/>
        <v>0.28268334848607563</v>
      </c>
    </row>
    <row r="53" spans="1:18" x14ac:dyDescent="0.2">
      <c r="A53" s="4">
        <v>20</v>
      </c>
      <c r="B53">
        <f>G3</f>
        <v>6.77</v>
      </c>
      <c r="C53">
        <f>G13</f>
        <v>1.0900000000000001</v>
      </c>
      <c r="D53">
        <f>G23</f>
        <v>9.6129999999999995</v>
      </c>
      <c r="E53">
        <f>G33</f>
        <v>6.3620000000000001</v>
      </c>
      <c r="F53" s="5">
        <f>AVERAGE(B53:E53)</f>
        <v>5.9587500000000002</v>
      </c>
      <c r="G53" s="5">
        <f>STDEV(B53:E53)</f>
        <v>3.5533555385485034</v>
      </c>
      <c r="H53">
        <f>G53/SQRT(4)</f>
        <v>1.7766777692742517</v>
      </c>
      <c r="K53" s="3" t="s">
        <v>64</v>
      </c>
      <c r="L53" s="3">
        <v>1.3402650599999999</v>
      </c>
      <c r="M53" s="7" t="s">
        <v>55</v>
      </c>
      <c r="N53" s="3">
        <v>1.63955432</v>
      </c>
      <c r="O53" s="7" t="s">
        <v>56</v>
      </c>
      <c r="P53" s="5">
        <f t="shared" si="32"/>
        <v>1.48990969</v>
      </c>
      <c r="Q53" s="5">
        <f t="shared" si="33"/>
        <v>0.21162946528230381</v>
      </c>
      <c r="R53">
        <f t="shared" si="34"/>
        <v>0.1058147326411519</v>
      </c>
    </row>
    <row r="54" spans="1:18" x14ac:dyDescent="0.2">
      <c r="A54" s="4">
        <f>A53+4</f>
        <v>24</v>
      </c>
      <c r="B54">
        <f t="shared" ref="B54:B59" si="40">G4</f>
        <v>9.6709999999999994</v>
      </c>
      <c r="C54">
        <f t="shared" ref="C54:C59" si="41">G14</f>
        <v>5.6760000000000002</v>
      </c>
      <c r="D54">
        <f t="shared" ref="D54:D59" si="42">G24</f>
        <v>6.7590000000000003</v>
      </c>
      <c r="E54">
        <f t="shared" ref="E54:E59" si="43">G34</f>
        <v>4.5250000000000004</v>
      </c>
      <c r="F54" s="5">
        <f>AVERAGE(B54:E54)</f>
        <v>6.6577500000000001</v>
      </c>
      <c r="G54" s="5">
        <f>STDEV(B54:E54)</f>
        <v>2.2062322898250484</v>
      </c>
      <c r="H54">
        <f>G54/SQRT(4)</f>
        <v>1.1031161449125242</v>
      </c>
      <c r="K54" s="3" t="s">
        <v>65</v>
      </c>
      <c r="L54" s="3">
        <v>1.1105119299999999</v>
      </c>
      <c r="M54" s="3">
        <v>1.28133568</v>
      </c>
      <c r="N54" s="3">
        <v>1.3179325900000001</v>
      </c>
      <c r="O54" s="3">
        <v>1.32627451</v>
      </c>
      <c r="P54" s="5">
        <f t="shared" si="32"/>
        <v>1.2590136775</v>
      </c>
      <c r="Q54" s="5">
        <f t="shared" si="33"/>
        <v>0.10090672036579047</v>
      </c>
      <c r="R54">
        <f t="shared" si="34"/>
        <v>5.0453360182895236E-2</v>
      </c>
    </row>
    <row r="55" spans="1:18" x14ac:dyDescent="0.2">
      <c r="A55" s="4">
        <f t="shared" ref="A55:A59" si="44">A54+4</f>
        <v>28</v>
      </c>
      <c r="B55">
        <f t="shared" si="40"/>
        <v>9.2810000000000006</v>
      </c>
      <c r="C55">
        <f t="shared" si="41"/>
        <v>2.4289999999999998</v>
      </c>
      <c r="D55">
        <f t="shared" si="42"/>
        <v>7.18</v>
      </c>
      <c r="E55">
        <f t="shared" si="43"/>
        <v>3.6789999999999998</v>
      </c>
      <c r="F55" s="5">
        <f t="shared" ref="F55:F59" si="45">AVERAGE(B55:E55)</f>
        <v>5.6422499999999998</v>
      </c>
      <c r="G55" s="5">
        <f t="shared" ref="G55:G59" si="46">STDEV(B55:E55)</f>
        <v>3.1508994879769401</v>
      </c>
      <c r="H55">
        <f t="shared" ref="H55:H59" si="47">G55/SQRT(4)</f>
        <v>1.57544974398847</v>
      </c>
      <c r="K55" s="3" t="s">
        <v>66</v>
      </c>
      <c r="L55" s="3">
        <v>0.88314607000000001</v>
      </c>
      <c r="M55" s="3">
        <v>0.74190668999999998</v>
      </c>
      <c r="N55" s="3">
        <v>0.98211488999999996</v>
      </c>
      <c r="O55" s="3">
        <v>1.02709158</v>
      </c>
      <c r="P55" s="5">
        <f t="shared" si="32"/>
        <v>0.90856480750000002</v>
      </c>
      <c r="Q55" s="5">
        <f t="shared" si="33"/>
        <v>0.12633190515432144</v>
      </c>
      <c r="R55">
        <f t="shared" si="34"/>
        <v>6.3165952577160719E-2</v>
      </c>
    </row>
    <row r="56" spans="1:18" x14ac:dyDescent="0.2">
      <c r="A56" s="4">
        <f t="shared" si="44"/>
        <v>32</v>
      </c>
      <c r="B56">
        <f t="shared" si="40"/>
        <v>13.537000000000001</v>
      </c>
      <c r="C56">
        <f t="shared" si="41"/>
        <v>14.225</v>
      </c>
      <c r="D56">
        <f t="shared" si="42"/>
        <v>12.401999999999999</v>
      </c>
      <c r="E56">
        <f t="shared" si="43"/>
        <v>11.475</v>
      </c>
      <c r="F56" s="5">
        <f t="shared" si="45"/>
        <v>12.909750000000001</v>
      </c>
      <c r="G56" s="5">
        <f t="shared" si="46"/>
        <v>1.2165035621265841</v>
      </c>
      <c r="H56">
        <f t="shared" si="47"/>
        <v>0.60825178106329203</v>
      </c>
      <c r="K56" s="3" t="s">
        <v>67</v>
      </c>
      <c r="L56" s="3">
        <v>0.91953088000000005</v>
      </c>
      <c r="M56" s="3">
        <v>0.72682292000000004</v>
      </c>
      <c r="N56" s="3">
        <v>0.83046763999999995</v>
      </c>
      <c r="O56" s="3">
        <v>0.79580925999999996</v>
      </c>
      <c r="P56" s="5">
        <f t="shared" si="32"/>
        <v>0.81815767500000003</v>
      </c>
      <c r="Q56" s="5">
        <f t="shared" si="33"/>
        <v>8.0144767045215337E-2</v>
      </c>
      <c r="R56">
        <f t="shared" si="34"/>
        <v>4.0072383522607669E-2</v>
      </c>
    </row>
    <row r="57" spans="1:18" x14ac:dyDescent="0.2">
      <c r="A57" s="4">
        <f t="shared" si="44"/>
        <v>36</v>
      </c>
      <c r="B57">
        <f t="shared" si="40"/>
        <v>18.245000000000001</v>
      </c>
      <c r="C57">
        <f t="shared" si="41"/>
        <v>24.65</v>
      </c>
      <c r="D57">
        <f t="shared" si="42"/>
        <v>19.792999999999999</v>
      </c>
      <c r="E57">
        <f t="shared" si="43"/>
        <v>14.654</v>
      </c>
      <c r="F57" s="5">
        <f t="shared" si="45"/>
        <v>19.3355</v>
      </c>
      <c r="G57" s="5">
        <f t="shared" si="46"/>
        <v>4.14563420962343</v>
      </c>
      <c r="H57">
        <f t="shared" si="47"/>
        <v>2.072817104811715</v>
      </c>
      <c r="K57" s="3" t="s">
        <v>68</v>
      </c>
      <c r="L57" s="3">
        <v>0.93117970999999999</v>
      </c>
      <c r="M57" s="3">
        <v>0.88007983999999995</v>
      </c>
      <c r="N57" s="3">
        <v>0.61870722</v>
      </c>
      <c r="O57" s="3">
        <v>0.66631673000000002</v>
      </c>
      <c r="P57" s="5">
        <f t="shared" si="32"/>
        <v>0.77407087500000005</v>
      </c>
      <c r="Q57" s="5">
        <f t="shared" si="33"/>
        <v>0.15456380317425336</v>
      </c>
      <c r="R57">
        <f t="shared" si="34"/>
        <v>7.7281901587126681E-2</v>
      </c>
    </row>
    <row r="58" spans="1:18" x14ac:dyDescent="0.2">
      <c r="A58" s="4">
        <f t="shared" si="44"/>
        <v>40</v>
      </c>
      <c r="B58">
        <f t="shared" si="40"/>
        <v>20.89</v>
      </c>
      <c r="C58">
        <f t="shared" si="41"/>
        <v>26.88</v>
      </c>
      <c r="D58">
        <f t="shared" si="42"/>
        <v>21.17</v>
      </c>
      <c r="E58">
        <f t="shared" si="43"/>
        <v>27.870999999999999</v>
      </c>
      <c r="F58" s="5">
        <f t="shared" si="45"/>
        <v>24.202749999999998</v>
      </c>
      <c r="G58" s="5">
        <f t="shared" si="46"/>
        <v>3.6876194104959903</v>
      </c>
      <c r="H58">
        <f t="shared" si="47"/>
        <v>1.8438097052479951</v>
      </c>
      <c r="P58" s="5"/>
      <c r="Q58" s="5"/>
    </row>
    <row r="59" spans="1:18" x14ac:dyDescent="0.2">
      <c r="A59" s="4">
        <f t="shared" si="44"/>
        <v>44</v>
      </c>
      <c r="B59">
        <f t="shared" si="40"/>
        <v>21.606999999999999</v>
      </c>
      <c r="C59">
        <f t="shared" si="41"/>
        <v>25.05</v>
      </c>
      <c r="D59">
        <f t="shared" si="42"/>
        <v>23.082000000000001</v>
      </c>
      <c r="E59">
        <f t="shared" si="43"/>
        <v>31.434000000000001</v>
      </c>
      <c r="F59" s="5">
        <f t="shared" si="45"/>
        <v>25.29325</v>
      </c>
      <c r="G59" s="5">
        <f t="shared" si="46"/>
        <v>4.329974855585192</v>
      </c>
      <c r="H59">
        <f t="shared" si="47"/>
        <v>2.164987427792596</v>
      </c>
      <c r="J59" t="s">
        <v>58</v>
      </c>
      <c r="K59" s="3" t="s">
        <v>62</v>
      </c>
      <c r="L59" s="3">
        <v>2.0321543399999999</v>
      </c>
      <c r="M59" s="7" t="s">
        <v>59</v>
      </c>
      <c r="N59" s="3">
        <v>0.82</v>
      </c>
      <c r="O59" s="3">
        <v>1.3</v>
      </c>
      <c r="P59" s="5">
        <f t="shared" si="32"/>
        <v>1.3840514466666667</v>
      </c>
      <c r="Q59" s="5">
        <f t="shared" si="33"/>
        <v>0.61043265006082248</v>
      </c>
      <c r="R59">
        <f t="shared" si="34"/>
        <v>0.30521632503041124</v>
      </c>
    </row>
    <row r="60" spans="1:18" x14ac:dyDescent="0.2">
      <c r="K60" s="3" t="s">
        <v>63</v>
      </c>
      <c r="L60" s="7" t="s">
        <v>60</v>
      </c>
      <c r="M60" s="3">
        <v>0.11248285</v>
      </c>
      <c r="N60" s="3">
        <v>0.87</v>
      </c>
      <c r="O60" s="3">
        <v>1.56</v>
      </c>
      <c r="P60" s="5">
        <f t="shared" si="32"/>
        <v>0.84749428333333332</v>
      </c>
      <c r="Q60" s="5">
        <f t="shared" si="33"/>
        <v>0.72402096333465438</v>
      </c>
      <c r="R60">
        <f t="shared" si="34"/>
        <v>0.36201048166732719</v>
      </c>
    </row>
    <row r="61" spans="1:18" x14ac:dyDescent="0.2">
      <c r="K61" s="3" t="s">
        <v>64</v>
      </c>
      <c r="L61" s="3">
        <v>0.81924883000000004</v>
      </c>
      <c r="M61" s="7" t="s">
        <v>61</v>
      </c>
      <c r="N61" s="3">
        <v>1.19</v>
      </c>
      <c r="O61" s="3">
        <v>2.35</v>
      </c>
      <c r="P61" s="5">
        <f t="shared" si="32"/>
        <v>1.4530829433333334</v>
      </c>
      <c r="Q61" s="5">
        <f t="shared" si="33"/>
        <v>0.7985670055911338</v>
      </c>
      <c r="R61">
        <f t="shared" si="34"/>
        <v>0.3992835027955669</v>
      </c>
    </row>
    <row r="62" spans="1:18" x14ac:dyDescent="0.2">
      <c r="K62" s="3" t="s">
        <v>65</v>
      </c>
      <c r="L62" s="3">
        <v>0.94414085999999997</v>
      </c>
      <c r="M62" s="3">
        <v>1.2128679</v>
      </c>
      <c r="N62" s="3">
        <v>0.99</v>
      </c>
      <c r="O62" s="3">
        <v>1.27</v>
      </c>
      <c r="P62" s="5">
        <f t="shared" si="32"/>
        <v>1.10425219</v>
      </c>
      <c r="Q62" s="5">
        <f t="shared" si="33"/>
        <v>0.16120267769980884</v>
      </c>
      <c r="R62">
        <f t="shared" si="34"/>
        <v>8.0601338849904419E-2</v>
      </c>
    </row>
    <row r="63" spans="1:18" x14ac:dyDescent="0.2">
      <c r="K63" s="3" t="s">
        <v>66</v>
      </c>
      <c r="L63" s="3">
        <v>0.82898550999999998</v>
      </c>
      <c r="M63" s="3">
        <v>0.86387665000000002</v>
      </c>
      <c r="N63" s="3">
        <v>1.23</v>
      </c>
      <c r="O63" s="3">
        <v>1.02</v>
      </c>
      <c r="P63" s="5">
        <f t="shared" si="32"/>
        <v>0.98571554000000006</v>
      </c>
      <c r="Q63" s="5">
        <f t="shared" si="33"/>
        <v>0.18281077558978462</v>
      </c>
      <c r="R63">
        <f t="shared" si="34"/>
        <v>9.1405387794892309E-2</v>
      </c>
    </row>
    <row r="64" spans="1:18" x14ac:dyDescent="0.2">
      <c r="K64" s="3" t="s">
        <v>67</v>
      </c>
      <c r="L64" s="3">
        <v>1.14368092</v>
      </c>
      <c r="M64" s="3">
        <v>0.97335906999999999</v>
      </c>
      <c r="N64" s="3">
        <v>1.1000000000000001</v>
      </c>
      <c r="O64" s="3">
        <v>0.77</v>
      </c>
      <c r="P64" s="5">
        <f t="shared" si="32"/>
        <v>0.99675999749999999</v>
      </c>
      <c r="Q64" s="5">
        <f t="shared" si="33"/>
        <v>0.16754298499043133</v>
      </c>
      <c r="R64">
        <f t="shared" si="34"/>
        <v>8.3771492495215663E-2</v>
      </c>
    </row>
    <row r="65" spans="11:18" x14ac:dyDescent="0.2">
      <c r="K65" s="3" t="s">
        <v>68</v>
      </c>
      <c r="L65" s="3">
        <v>1.2338410900000001</v>
      </c>
      <c r="M65" s="3">
        <v>0.92418498999999998</v>
      </c>
      <c r="N65" s="3">
        <v>0.75</v>
      </c>
      <c r="O65" s="3">
        <v>0.65</v>
      </c>
      <c r="P65" s="5">
        <f t="shared" si="32"/>
        <v>0.88950651999999997</v>
      </c>
      <c r="Q65" s="5">
        <f t="shared" si="33"/>
        <v>0.25599110311600465</v>
      </c>
      <c r="R65">
        <f t="shared" si="34"/>
        <v>0.12799555155800232</v>
      </c>
    </row>
  </sheetData>
  <phoneticPr fontId="5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5630D-31C2-40BC-9B9A-92CF47FF2760}">
  <dimension ref="A1:R59"/>
  <sheetViews>
    <sheetView tabSelected="1" topLeftCell="A5" zoomScale="85" zoomScaleNormal="85" workbookViewId="0">
      <selection activeCell="N43" sqref="N43:O49"/>
    </sheetView>
  </sheetViews>
  <sheetFormatPr baseColWidth="10" defaultColWidth="8.83203125" defaultRowHeight="15" x14ac:dyDescent="0.2"/>
  <cols>
    <col min="8" max="8" width="12" bestFit="1" customWidth="1"/>
    <col min="10" max="10" width="12" customWidth="1"/>
    <col min="11" max="11" width="10.83203125" customWidth="1"/>
    <col min="18" max="18" width="12" bestFit="1" customWidth="1"/>
  </cols>
  <sheetData>
    <row r="1" spans="1:12" ht="21" x14ac:dyDescent="0.25">
      <c r="A1" s="1" t="s">
        <v>14</v>
      </c>
      <c r="F1" s="1" t="s">
        <v>3</v>
      </c>
      <c r="J1" s="1" t="s">
        <v>15</v>
      </c>
    </row>
    <row r="2" spans="1:12" x14ac:dyDescent="0.2">
      <c r="A2" t="s">
        <v>10</v>
      </c>
      <c r="B2" t="s">
        <v>1</v>
      </c>
      <c r="C2" t="s">
        <v>2</v>
      </c>
      <c r="D2" t="s">
        <v>6</v>
      </c>
      <c r="F2" t="s">
        <v>1</v>
      </c>
      <c r="G2" t="s">
        <v>2</v>
      </c>
      <c r="H2" t="s">
        <v>6</v>
      </c>
      <c r="J2" s="2" t="s">
        <v>8</v>
      </c>
      <c r="K2" t="s">
        <v>9</v>
      </c>
      <c r="L2" t="s">
        <v>17</v>
      </c>
    </row>
    <row r="3" spans="1:12" x14ac:dyDescent="0.2">
      <c r="A3">
        <v>20</v>
      </c>
      <c r="B3">
        <v>4808.28</v>
      </c>
      <c r="C3">
        <v>6.32</v>
      </c>
      <c r="D3">
        <f>C3/$C$3</f>
        <v>1</v>
      </c>
      <c r="F3">
        <v>2125.7199999999998</v>
      </c>
      <c r="G3">
        <v>3.11</v>
      </c>
      <c r="H3">
        <f>G3/$G$3</f>
        <v>1</v>
      </c>
      <c r="J3" s="2">
        <f>B3/F3</f>
        <v>2.261953596898933</v>
      </c>
      <c r="K3">
        <f>C3/G3</f>
        <v>2.032154340836013</v>
      </c>
      <c r="L3">
        <f t="shared" ref="L3:L8" si="0">K3/$K$9</f>
        <v>1.6470146459428345</v>
      </c>
    </row>
    <row r="4" spans="1:12" x14ac:dyDescent="0.2">
      <c r="A4">
        <f>A3+4</f>
        <v>24</v>
      </c>
      <c r="B4">
        <v>172.36</v>
      </c>
      <c r="C4">
        <v>0.23</v>
      </c>
      <c r="D4">
        <f t="shared" ref="D4:D9" si="1">C4/$C$3</f>
        <v>3.6392405063291139E-2</v>
      </c>
      <c r="F4">
        <v>4175.5</v>
      </c>
      <c r="G4">
        <v>6.1</v>
      </c>
      <c r="H4">
        <f t="shared" ref="H4:H9" si="2">G4/$G$3</f>
        <v>1.9614147909967845</v>
      </c>
      <c r="J4" s="2">
        <f t="shared" ref="J4:K9" si="3">B4/F4</f>
        <v>4.1278888755837628E-2</v>
      </c>
      <c r="K4">
        <f t="shared" si="3"/>
        <v>3.7704918032786888E-2</v>
      </c>
      <c r="L4">
        <f t="shared" si="0"/>
        <v>3.0558974274821269E-2</v>
      </c>
    </row>
    <row r="5" spans="1:12" x14ac:dyDescent="0.2">
      <c r="A5">
        <f t="shared" ref="A5:A9" si="4">A4+4</f>
        <v>28</v>
      </c>
      <c r="B5">
        <v>5307.1</v>
      </c>
      <c r="C5">
        <v>6.98</v>
      </c>
      <c r="D5">
        <f t="shared" si="1"/>
        <v>1.1044303797468356</v>
      </c>
      <c r="F5">
        <v>5828.57</v>
      </c>
      <c r="G5">
        <v>8.52</v>
      </c>
      <c r="H5">
        <f t="shared" si="2"/>
        <v>2.739549839228296</v>
      </c>
      <c r="J5" s="2">
        <f t="shared" si="3"/>
        <v>0.91053208591472701</v>
      </c>
      <c r="K5">
        <f t="shared" si="3"/>
        <v>0.81924882629107987</v>
      </c>
      <c r="L5">
        <f t="shared" si="0"/>
        <v>0.66398244880248014</v>
      </c>
    </row>
    <row r="6" spans="1:12" x14ac:dyDescent="0.2">
      <c r="A6">
        <f t="shared" si="4"/>
        <v>32</v>
      </c>
      <c r="B6">
        <v>11831.78</v>
      </c>
      <c r="C6">
        <v>15.55</v>
      </c>
      <c r="D6">
        <f t="shared" si="1"/>
        <v>2.4604430379746836</v>
      </c>
      <c r="F6">
        <v>11269.54</v>
      </c>
      <c r="G6">
        <v>16.47</v>
      </c>
      <c r="H6">
        <f t="shared" si="2"/>
        <v>5.295819935691318</v>
      </c>
      <c r="J6" s="2">
        <f t="shared" si="3"/>
        <v>1.0498902350938901</v>
      </c>
      <c r="K6">
        <f t="shared" si="3"/>
        <v>0.94414086217364912</v>
      </c>
      <c r="L6">
        <f t="shared" si="0"/>
        <v>0.7652045893292605</v>
      </c>
    </row>
    <row r="7" spans="1:12" x14ac:dyDescent="0.2">
      <c r="A7">
        <f t="shared" si="4"/>
        <v>36</v>
      </c>
      <c r="B7">
        <v>13053.68</v>
      </c>
      <c r="C7">
        <v>17.16</v>
      </c>
      <c r="D7">
        <f t="shared" si="1"/>
        <v>2.7151898734177213</v>
      </c>
      <c r="F7">
        <v>14168.2</v>
      </c>
      <c r="G7">
        <v>20.7</v>
      </c>
      <c r="H7">
        <f t="shared" si="2"/>
        <v>6.655948553054662</v>
      </c>
      <c r="J7" s="2">
        <f t="shared" si="3"/>
        <v>0.92133651416552553</v>
      </c>
      <c r="K7">
        <f t="shared" si="3"/>
        <v>0.82898550724637687</v>
      </c>
      <c r="L7">
        <f t="shared" si="0"/>
        <v>0.67187380617332304</v>
      </c>
    </row>
    <row r="8" spans="1:12" x14ac:dyDescent="0.2">
      <c r="A8">
        <f t="shared" si="4"/>
        <v>40</v>
      </c>
      <c r="B8">
        <v>18103.990000000002</v>
      </c>
      <c r="C8">
        <v>23.8</v>
      </c>
      <c r="D8">
        <f t="shared" si="1"/>
        <v>3.7658227848101267</v>
      </c>
      <c r="F8">
        <v>14243.32</v>
      </c>
      <c r="G8">
        <v>20.81</v>
      </c>
      <c r="H8">
        <f t="shared" si="2"/>
        <v>6.6913183279742761</v>
      </c>
      <c r="J8" s="2">
        <f t="shared" si="3"/>
        <v>1.2710512717540574</v>
      </c>
      <c r="K8">
        <f t="shared" si="3"/>
        <v>1.1436809226333495</v>
      </c>
      <c r="L8">
        <f t="shared" si="0"/>
        <v>0.92692724760640832</v>
      </c>
    </row>
    <row r="9" spans="1:12" x14ac:dyDescent="0.2">
      <c r="A9">
        <f t="shared" si="4"/>
        <v>44</v>
      </c>
      <c r="B9">
        <v>22802.36</v>
      </c>
      <c r="C9">
        <v>29.97</v>
      </c>
      <c r="D9">
        <f t="shared" si="1"/>
        <v>4.742088607594936</v>
      </c>
      <c r="F9">
        <v>16619.849999999999</v>
      </c>
      <c r="G9">
        <v>24.29</v>
      </c>
      <c r="H9">
        <f t="shared" si="2"/>
        <v>7.810289389067524</v>
      </c>
      <c r="J9" s="2">
        <f t="shared" si="3"/>
        <v>1.3719955354591047</v>
      </c>
      <c r="K9">
        <f t="shared" si="3"/>
        <v>1.2338410868670235</v>
      </c>
      <c r="L9">
        <f>K9/$K$9</f>
        <v>1</v>
      </c>
    </row>
    <row r="11" spans="1:12" ht="21" x14ac:dyDescent="0.25">
      <c r="A11" s="1" t="s">
        <v>16</v>
      </c>
      <c r="F11" s="1" t="s">
        <v>5</v>
      </c>
      <c r="J11" s="1" t="s">
        <v>45</v>
      </c>
    </row>
    <row r="12" spans="1:12" x14ac:dyDescent="0.2">
      <c r="A12" t="s">
        <v>10</v>
      </c>
      <c r="B12" t="s">
        <v>1</v>
      </c>
      <c r="C12" t="s">
        <v>2</v>
      </c>
      <c r="D12" t="s">
        <v>11</v>
      </c>
      <c r="F12" t="s">
        <v>1</v>
      </c>
      <c r="G12" t="s">
        <v>2</v>
      </c>
      <c r="H12" t="s">
        <v>11</v>
      </c>
      <c r="J12" s="2" t="s">
        <v>12</v>
      </c>
      <c r="K12" t="s">
        <v>13</v>
      </c>
      <c r="L12" t="s">
        <v>19</v>
      </c>
    </row>
    <row r="13" spans="1:12" x14ac:dyDescent="0.2">
      <c r="A13">
        <v>20</v>
      </c>
      <c r="B13">
        <v>3159.2</v>
      </c>
      <c r="C13">
        <v>4.3600000000000003</v>
      </c>
      <c r="D13">
        <f>C13/$C$13</f>
        <v>1</v>
      </c>
      <c r="F13">
        <v>662.87</v>
      </c>
      <c r="G13">
        <v>1.17</v>
      </c>
      <c r="H13">
        <f>G13/$G$13</f>
        <v>1</v>
      </c>
      <c r="J13" s="2">
        <f>B13/F13</f>
        <v>4.7659420399173289</v>
      </c>
      <c r="K13">
        <f>C13/G13</f>
        <v>3.726495726495727</v>
      </c>
      <c r="L13">
        <f t="shared" ref="L13:L18" si="5">K13/$K$19</f>
        <v>4.0321967705068609</v>
      </c>
    </row>
    <row r="14" spans="1:12" x14ac:dyDescent="0.2">
      <c r="A14">
        <f>A13+4</f>
        <v>24</v>
      </c>
      <c r="B14">
        <v>593.58000000000004</v>
      </c>
      <c r="C14">
        <v>0.82</v>
      </c>
      <c r="D14">
        <f t="shared" ref="D14:D19" si="6">C14/$C$13</f>
        <v>0.18807339449541283</v>
      </c>
      <c r="F14">
        <v>4146.2</v>
      </c>
      <c r="G14">
        <v>7.29</v>
      </c>
      <c r="H14">
        <f t="shared" ref="H14:H19" si="7">G14/$G$13</f>
        <v>6.2307692307692308</v>
      </c>
      <c r="J14" s="2">
        <f t="shared" ref="J14:K19" si="8">B14/F14</f>
        <v>0.14316241377647004</v>
      </c>
      <c r="K14">
        <f t="shared" si="8"/>
        <v>0.11248285322359396</v>
      </c>
      <c r="L14">
        <f t="shared" si="5"/>
        <v>0.12171032272511929</v>
      </c>
    </row>
    <row r="15" spans="1:12" x14ac:dyDescent="0.2">
      <c r="A15">
        <f t="shared" ref="A15:A19" si="9">A14+4</f>
        <v>28</v>
      </c>
      <c r="B15">
        <v>5725.81</v>
      </c>
      <c r="C15">
        <v>7.9</v>
      </c>
      <c r="D15">
        <f t="shared" si="6"/>
        <v>1.8119266055045871</v>
      </c>
      <c r="F15">
        <v>1106.53</v>
      </c>
      <c r="G15">
        <v>1.95</v>
      </c>
      <c r="H15">
        <f t="shared" si="7"/>
        <v>1.6666666666666667</v>
      </c>
      <c r="J15" s="2">
        <f t="shared" si="8"/>
        <v>5.174563726243302</v>
      </c>
      <c r="K15">
        <f t="shared" si="8"/>
        <v>4.051282051282052</v>
      </c>
      <c r="L15">
        <f t="shared" si="5"/>
        <v>4.3836267642666336</v>
      </c>
    </row>
    <row r="16" spans="1:12" x14ac:dyDescent="0.2">
      <c r="A16">
        <f t="shared" si="9"/>
        <v>32</v>
      </c>
      <c r="B16">
        <v>12843.85</v>
      </c>
      <c r="C16">
        <v>17.72</v>
      </c>
      <c r="D16">
        <f t="shared" si="6"/>
        <v>4.0642201834862384</v>
      </c>
      <c r="F16">
        <v>8303.18</v>
      </c>
      <c r="G16">
        <v>14.61</v>
      </c>
      <c r="H16">
        <f t="shared" si="7"/>
        <v>12.487179487179487</v>
      </c>
      <c r="J16" s="2">
        <f t="shared" si="8"/>
        <v>1.5468591551670565</v>
      </c>
      <c r="K16">
        <f t="shared" si="8"/>
        <v>1.2128678986995209</v>
      </c>
      <c r="L16">
        <f t="shared" si="5"/>
        <v>1.3123648551145759</v>
      </c>
    </row>
    <row r="17" spans="1:12" x14ac:dyDescent="0.2">
      <c r="A17">
        <f t="shared" si="9"/>
        <v>36</v>
      </c>
      <c r="B17">
        <v>14214.39</v>
      </c>
      <c r="C17">
        <v>19.61</v>
      </c>
      <c r="D17">
        <f t="shared" si="6"/>
        <v>4.4977064220183482</v>
      </c>
      <c r="F17">
        <v>12902.32</v>
      </c>
      <c r="G17">
        <v>22.7</v>
      </c>
      <c r="H17">
        <f t="shared" si="7"/>
        <v>19.401709401709404</v>
      </c>
      <c r="J17" s="2">
        <f t="shared" si="8"/>
        <v>1.10169256381798</v>
      </c>
      <c r="K17">
        <f t="shared" si="8"/>
        <v>0.86387665198237884</v>
      </c>
      <c r="L17">
        <f t="shared" si="5"/>
        <v>0.9347443018578816</v>
      </c>
    </row>
    <row r="18" spans="1:12" x14ac:dyDescent="0.2">
      <c r="A18">
        <f t="shared" si="9"/>
        <v>40</v>
      </c>
      <c r="B18">
        <v>18271.75</v>
      </c>
      <c r="C18">
        <v>25.21</v>
      </c>
      <c r="D18">
        <f t="shared" si="6"/>
        <v>5.7821100917431192</v>
      </c>
      <c r="F18">
        <v>14721.15</v>
      </c>
      <c r="G18">
        <v>25.9</v>
      </c>
      <c r="H18">
        <f t="shared" si="7"/>
        <v>22.136752136752136</v>
      </c>
      <c r="J18" s="2">
        <f t="shared" si="8"/>
        <v>1.2411903961307371</v>
      </c>
      <c r="K18">
        <f t="shared" si="8"/>
        <v>0.97335907335907346</v>
      </c>
      <c r="L18">
        <f t="shared" si="5"/>
        <v>1.0532080539463642</v>
      </c>
    </row>
    <row r="19" spans="1:12" x14ac:dyDescent="0.2">
      <c r="A19">
        <f t="shared" si="9"/>
        <v>44</v>
      </c>
      <c r="B19">
        <v>17668.22</v>
      </c>
      <c r="C19">
        <v>24.38</v>
      </c>
      <c r="D19">
        <f t="shared" si="6"/>
        <v>5.5917431192660541</v>
      </c>
      <c r="F19">
        <v>14994.68</v>
      </c>
      <c r="G19">
        <v>26.38</v>
      </c>
      <c r="H19">
        <f t="shared" si="7"/>
        <v>22.547008547008549</v>
      </c>
      <c r="J19" s="2">
        <f t="shared" si="8"/>
        <v>1.1782992367959837</v>
      </c>
      <c r="K19">
        <f t="shared" si="8"/>
        <v>0.92418498862774834</v>
      </c>
      <c r="L19">
        <f>K19/$K$19</f>
        <v>1</v>
      </c>
    </row>
    <row r="21" spans="1:12" ht="21" x14ac:dyDescent="0.25">
      <c r="A21" s="1" t="s">
        <v>46</v>
      </c>
      <c r="F21" s="1" t="s">
        <v>34</v>
      </c>
      <c r="J21" s="1" t="s">
        <v>47</v>
      </c>
    </row>
    <row r="22" spans="1:12" x14ac:dyDescent="0.2">
      <c r="A22" t="s">
        <v>10</v>
      </c>
      <c r="B22" t="s">
        <v>1</v>
      </c>
      <c r="C22" t="s">
        <v>2</v>
      </c>
      <c r="D22" t="s">
        <v>11</v>
      </c>
      <c r="F22" t="s">
        <v>1</v>
      </c>
      <c r="G22" t="s">
        <v>2</v>
      </c>
      <c r="H22" t="s">
        <v>11</v>
      </c>
      <c r="J22" s="2" t="s">
        <v>12</v>
      </c>
      <c r="K22" t="s">
        <v>13</v>
      </c>
      <c r="L22" t="s">
        <v>19</v>
      </c>
    </row>
    <row r="23" spans="1:12" x14ac:dyDescent="0.2">
      <c r="A23">
        <v>20</v>
      </c>
      <c r="B23">
        <v>4065.569</v>
      </c>
      <c r="C23">
        <v>7.1849999999999996</v>
      </c>
      <c r="D23">
        <f>C23/$C$13</f>
        <v>1.6479357798165135</v>
      </c>
      <c r="F23">
        <v>6081.518</v>
      </c>
      <c r="G23">
        <v>8.7609999999999992</v>
      </c>
      <c r="H23">
        <f>G23/$G$13</f>
        <v>7.4880341880341881</v>
      </c>
      <c r="J23" s="2">
        <f>B23/F23</f>
        <v>0.66851220369651132</v>
      </c>
      <c r="K23">
        <f>C23/G23</f>
        <v>0.82011185937678355</v>
      </c>
      <c r="L23">
        <f t="shared" ref="L23:L28" si="10">K23/$K$19</f>
        <v>0.88738928836585518</v>
      </c>
    </row>
    <row r="24" spans="1:12" x14ac:dyDescent="0.2">
      <c r="A24">
        <f>A23+4</f>
        <v>24</v>
      </c>
      <c r="B24">
        <v>2819.154</v>
      </c>
      <c r="C24">
        <v>4.9820000000000002</v>
      </c>
      <c r="D24">
        <f t="shared" ref="D24:D29" si="11">C24/$C$13</f>
        <v>1.1426605504587155</v>
      </c>
      <c r="F24">
        <v>3958.8609999999999</v>
      </c>
      <c r="G24">
        <v>5.7030000000000003</v>
      </c>
      <c r="H24">
        <f t="shared" ref="H24:H29" si="12">G24/$G$13</f>
        <v>4.8743589743589748</v>
      </c>
      <c r="J24" s="2">
        <f t="shared" ref="J24:J29" si="13">B24/F24</f>
        <v>0.71211239798517811</v>
      </c>
      <c r="K24">
        <f t="shared" ref="K24:K29" si="14">C24/G24</f>
        <v>0.87357531123969845</v>
      </c>
      <c r="L24">
        <f t="shared" si="10"/>
        <v>0.94523858533647431</v>
      </c>
    </row>
    <row r="25" spans="1:12" x14ac:dyDescent="0.2">
      <c r="A25">
        <f t="shared" ref="A25:A29" si="15">A24+4</f>
        <v>28</v>
      </c>
      <c r="B25">
        <v>6441.2250000000004</v>
      </c>
      <c r="C25">
        <v>11.382999999999999</v>
      </c>
      <c r="D25">
        <f t="shared" si="11"/>
        <v>2.610779816513761</v>
      </c>
      <c r="F25">
        <v>6647.64</v>
      </c>
      <c r="G25">
        <v>9.577</v>
      </c>
      <c r="H25">
        <f t="shared" si="12"/>
        <v>8.1854700854700866</v>
      </c>
      <c r="J25" s="2">
        <f t="shared" si="13"/>
        <v>0.96894913081935841</v>
      </c>
      <c r="K25">
        <f t="shared" si="14"/>
        <v>1.1885767985799309</v>
      </c>
      <c r="L25">
        <f t="shared" si="10"/>
        <v>1.2860810478481779</v>
      </c>
    </row>
    <row r="26" spans="1:12" x14ac:dyDescent="0.2">
      <c r="A26">
        <f t="shared" si="15"/>
        <v>32</v>
      </c>
      <c r="B26">
        <v>7573.4679999999998</v>
      </c>
      <c r="C26">
        <v>13.384</v>
      </c>
      <c r="D26">
        <f t="shared" si="11"/>
        <v>3.0697247706422015</v>
      </c>
      <c r="F26">
        <v>9410.7109999999993</v>
      </c>
      <c r="G26">
        <v>13.557</v>
      </c>
      <c r="H26">
        <f t="shared" si="12"/>
        <v>11.587179487179489</v>
      </c>
      <c r="J26" s="2">
        <f t="shared" si="13"/>
        <v>0.80477107415157056</v>
      </c>
      <c r="K26">
        <f t="shared" si="14"/>
        <v>0.98723906468982814</v>
      </c>
      <c r="L26">
        <f t="shared" si="10"/>
        <v>1.0682266827939977</v>
      </c>
    </row>
    <row r="27" spans="1:12" x14ac:dyDescent="0.2">
      <c r="A27">
        <f t="shared" si="15"/>
        <v>36</v>
      </c>
      <c r="B27">
        <v>13564.368</v>
      </c>
      <c r="C27">
        <v>23.971</v>
      </c>
      <c r="D27">
        <f t="shared" si="11"/>
        <v>5.4979357798165136</v>
      </c>
      <c r="F27">
        <v>13505.338</v>
      </c>
      <c r="G27">
        <v>19.456</v>
      </c>
      <c r="H27">
        <f t="shared" si="12"/>
        <v>16.62905982905983</v>
      </c>
      <c r="J27" s="2">
        <f t="shared" si="13"/>
        <v>1.0043708643204636</v>
      </c>
      <c r="K27">
        <f t="shared" si="14"/>
        <v>1.2320620888157896</v>
      </c>
      <c r="L27">
        <f t="shared" si="10"/>
        <v>1.333133630146043</v>
      </c>
    </row>
    <row r="28" spans="1:12" x14ac:dyDescent="0.2">
      <c r="A28">
        <f t="shared" si="15"/>
        <v>40</v>
      </c>
      <c r="B28">
        <v>12131.075000000001</v>
      </c>
      <c r="C28">
        <v>21.437999999999999</v>
      </c>
      <c r="D28">
        <f t="shared" si="11"/>
        <v>4.9169724770642196</v>
      </c>
      <c r="F28">
        <v>13467.681</v>
      </c>
      <c r="G28">
        <v>19.402000000000001</v>
      </c>
      <c r="H28">
        <f t="shared" si="12"/>
        <v>16.582905982905984</v>
      </c>
      <c r="J28" s="2">
        <f t="shared" si="13"/>
        <v>0.90075455455174502</v>
      </c>
      <c r="K28">
        <f t="shared" si="14"/>
        <v>1.1049376352953302</v>
      </c>
      <c r="L28">
        <f t="shared" si="10"/>
        <v>1.1955805914311242</v>
      </c>
    </row>
    <row r="29" spans="1:12" x14ac:dyDescent="0.2">
      <c r="A29">
        <f t="shared" si="15"/>
        <v>44</v>
      </c>
      <c r="B29">
        <v>9991.125</v>
      </c>
      <c r="C29">
        <v>17.657</v>
      </c>
      <c r="D29">
        <f t="shared" si="11"/>
        <v>4.0497706422018345</v>
      </c>
      <c r="F29">
        <v>16341.630999999999</v>
      </c>
      <c r="G29">
        <v>23.542000000000002</v>
      </c>
      <c r="H29">
        <f t="shared" si="12"/>
        <v>20.121367521367524</v>
      </c>
      <c r="J29" s="2">
        <f t="shared" si="13"/>
        <v>0.6113909315416558</v>
      </c>
      <c r="K29">
        <f t="shared" si="14"/>
        <v>0.75002123863732895</v>
      </c>
      <c r="L29">
        <f>K29/$K$19</f>
        <v>0.81154882179051424</v>
      </c>
    </row>
    <row r="31" spans="1:12" ht="21" x14ac:dyDescent="0.25">
      <c r="A31" s="1" t="s">
        <v>48</v>
      </c>
      <c r="F31" s="1" t="s">
        <v>37</v>
      </c>
      <c r="J31" s="1" t="s">
        <v>49</v>
      </c>
    </row>
    <row r="32" spans="1:12" x14ac:dyDescent="0.2">
      <c r="A32" t="s">
        <v>10</v>
      </c>
      <c r="B32" t="s">
        <v>1</v>
      </c>
      <c r="C32" t="s">
        <v>2</v>
      </c>
      <c r="D32" t="s">
        <v>11</v>
      </c>
      <c r="F32" t="s">
        <v>1</v>
      </c>
      <c r="G32" t="s">
        <v>2</v>
      </c>
      <c r="H32" t="s">
        <v>11</v>
      </c>
      <c r="J32" s="2" t="s">
        <v>12</v>
      </c>
      <c r="K32" t="s">
        <v>13</v>
      </c>
      <c r="L32" t="s">
        <v>19</v>
      </c>
    </row>
    <row r="33" spans="1:18" x14ac:dyDescent="0.2">
      <c r="A33">
        <v>20</v>
      </c>
      <c r="B33">
        <v>8429.61</v>
      </c>
      <c r="C33">
        <v>11.242000000000001</v>
      </c>
      <c r="D33">
        <f>C33/$C$13</f>
        <v>2.5784403669724769</v>
      </c>
      <c r="F33">
        <v>6501.3469999999998</v>
      </c>
      <c r="G33">
        <v>8.6669999999999998</v>
      </c>
      <c r="H33">
        <f>G33/$G$13</f>
        <v>7.407692307692308</v>
      </c>
      <c r="J33" s="2">
        <f>B33/F33</f>
        <v>1.2965943826717756</v>
      </c>
      <c r="K33">
        <f>C33/G33</f>
        <v>1.2971039575400947</v>
      </c>
      <c r="L33">
        <f t="shared" ref="L33:L38" si="16">K33/$K$19</f>
        <v>1.4035111730889129</v>
      </c>
    </row>
    <row r="34" spans="1:18" x14ac:dyDescent="0.2">
      <c r="A34">
        <f>A33+4</f>
        <v>24</v>
      </c>
      <c r="B34">
        <v>7541.61</v>
      </c>
      <c r="C34">
        <v>10.058</v>
      </c>
      <c r="D34">
        <f t="shared" ref="D34:D39" si="17">C34/$C$13</f>
        <v>2.3068807339449537</v>
      </c>
      <c r="F34">
        <v>4830.6899999999996</v>
      </c>
      <c r="G34">
        <v>6.44</v>
      </c>
      <c r="H34">
        <f t="shared" ref="H34:H39" si="18">G34/$G$13</f>
        <v>5.5042735042735051</v>
      </c>
      <c r="J34" s="2">
        <f t="shared" ref="J34:J39" si="19">B34/F34</f>
        <v>1.5611869111866008</v>
      </c>
      <c r="K34">
        <f t="shared" ref="K34:K39" si="20">C34/G34</f>
        <v>1.5618012422360248</v>
      </c>
      <c r="L34">
        <f t="shared" si="16"/>
        <v>1.6899227551347962</v>
      </c>
    </row>
    <row r="35" spans="1:18" x14ac:dyDescent="0.2">
      <c r="A35">
        <f t="shared" ref="A35:A39" si="21">A34+4</f>
        <v>28</v>
      </c>
      <c r="B35">
        <v>8149.56</v>
      </c>
      <c r="C35">
        <v>10.868</v>
      </c>
      <c r="D35">
        <f t="shared" si="17"/>
        <v>2.4926605504587154</v>
      </c>
      <c r="F35">
        <v>3475.0329999999999</v>
      </c>
      <c r="G35">
        <v>4.633</v>
      </c>
      <c r="H35">
        <f t="shared" si="18"/>
        <v>3.95982905982906</v>
      </c>
      <c r="J35" s="2">
        <f t="shared" si="19"/>
        <v>2.345174851576949</v>
      </c>
      <c r="K35">
        <f t="shared" si="20"/>
        <v>2.3457802719620116</v>
      </c>
      <c r="L35">
        <f t="shared" si="16"/>
        <v>2.5382150768809622</v>
      </c>
    </row>
    <row r="36" spans="1:18" x14ac:dyDescent="0.2">
      <c r="A36">
        <f t="shared" si="21"/>
        <v>32</v>
      </c>
      <c r="B36">
        <v>9924.0949999999993</v>
      </c>
      <c r="C36">
        <v>13.234999999999999</v>
      </c>
      <c r="D36">
        <f t="shared" si="17"/>
        <v>3.0355504587155959</v>
      </c>
      <c r="F36">
        <v>7823.8320000000003</v>
      </c>
      <c r="G36">
        <v>10.43</v>
      </c>
      <c r="H36">
        <f t="shared" si="18"/>
        <v>8.9145299145299148</v>
      </c>
      <c r="J36" s="2">
        <f t="shared" si="19"/>
        <v>1.2684442866360115</v>
      </c>
      <c r="K36">
        <f t="shared" si="20"/>
        <v>1.2689357622243529</v>
      </c>
      <c r="L36">
        <f t="shared" si="16"/>
        <v>1.3730322152370151</v>
      </c>
    </row>
    <row r="37" spans="1:18" x14ac:dyDescent="0.2">
      <c r="A37">
        <f t="shared" si="21"/>
        <v>36</v>
      </c>
      <c r="B37">
        <v>12881.166999999999</v>
      </c>
      <c r="C37">
        <v>17.178999999999998</v>
      </c>
      <c r="D37">
        <f t="shared" si="17"/>
        <v>3.9401376146788984</v>
      </c>
      <c r="F37">
        <v>12642.146000000001</v>
      </c>
      <c r="G37">
        <v>16.853999999999999</v>
      </c>
      <c r="H37">
        <f t="shared" si="18"/>
        <v>14.405128205128205</v>
      </c>
      <c r="J37" s="2">
        <f t="shared" si="19"/>
        <v>1.0189066792932149</v>
      </c>
      <c r="K37">
        <f t="shared" si="20"/>
        <v>1.0192832562003085</v>
      </c>
      <c r="L37">
        <f t="shared" si="16"/>
        <v>1.1028996020740007</v>
      </c>
    </row>
    <row r="38" spans="1:18" x14ac:dyDescent="0.2">
      <c r="A38">
        <f t="shared" si="21"/>
        <v>40</v>
      </c>
      <c r="B38">
        <v>13747.924000000001</v>
      </c>
      <c r="C38">
        <v>18.334</v>
      </c>
      <c r="D38">
        <f t="shared" si="17"/>
        <v>4.2050458715596326</v>
      </c>
      <c r="F38">
        <v>17815.359</v>
      </c>
      <c r="G38">
        <v>23.75</v>
      </c>
      <c r="H38">
        <f t="shared" si="18"/>
        <v>20.299145299145302</v>
      </c>
      <c r="J38" s="2">
        <f t="shared" si="19"/>
        <v>0.7716894169800339</v>
      </c>
      <c r="K38">
        <f t="shared" si="20"/>
        <v>0.77195789473684207</v>
      </c>
      <c r="L38">
        <f t="shared" si="16"/>
        <v>0.83528503950606614</v>
      </c>
    </row>
    <row r="39" spans="1:18" x14ac:dyDescent="0.2">
      <c r="A39">
        <f t="shared" si="21"/>
        <v>44</v>
      </c>
      <c r="B39">
        <v>14310.045</v>
      </c>
      <c r="C39">
        <v>19.084</v>
      </c>
      <c r="D39">
        <f t="shared" si="17"/>
        <v>4.3770642201834855</v>
      </c>
      <c r="F39">
        <v>21923.501</v>
      </c>
      <c r="G39">
        <v>29.227</v>
      </c>
      <c r="H39">
        <f t="shared" si="18"/>
        <v>24.980341880341882</v>
      </c>
      <c r="J39" s="2">
        <f t="shared" si="19"/>
        <v>0.65272626849151516</v>
      </c>
      <c r="K39">
        <f t="shared" si="20"/>
        <v>0.65295788141102407</v>
      </c>
      <c r="L39">
        <f>K39/$K$19</f>
        <v>0.70652292500503744</v>
      </c>
    </row>
    <row r="41" spans="1:18" x14ac:dyDescent="0.2">
      <c r="A41" s="4" t="s">
        <v>28</v>
      </c>
      <c r="B41" s="4"/>
      <c r="C41" s="4"/>
      <c r="J41" s="4" t="s">
        <v>29</v>
      </c>
    </row>
    <row r="42" spans="1:18" x14ac:dyDescent="0.2">
      <c r="A42" s="4" t="s">
        <v>10</v>
      </c>
      <c r="B42" s="4" t="s">
        <v>30</v>
      </c>
      <c r="C42" s="4" t="s">
        <v>31</v>
      </c>
      <c r="D42" s="4" t="s">
        <v>39</v>
      </c>
      <c r="E42" s="4" t="s">
        <v>40</v>
      </c>
      <c r="F42" s="4" t="s">
        <v>21</v>
      </c>
      <c r="G42" s="4" t="s">
        <v>32</v>
      </c>
      <c r="H42" s="4" t="s">
        <v>41</v>
      </c>
      <c r="K42" s="4" t="s">
        <v>10</v>
      </c>
      <c r="L42" s="4" t="s">
        <v>30</v>
      </c>
      <c r="M42" s="4" t="s">
        <v>31</v>
      </c>
      <c r="N42" s="4" t="s">
        <v>39</v>
      </c>
      <c r="O42" s="4" t="s">
        <v>40</v>
      </c>
      <c r="P42" s="4" t="s">
        <v>21</v>
      </c>
      <c r="Q42" s="4" t="s">
        <v>32</v>
      </c>
      <c r="R42" s="4" t="s">
        <v>41</v>
      </c>
    </row>
    <row r="43" spans="1:18" x14ac:dyDescent="0.2">
      <c r="A43" s="4">
        <v>20</v>
      </c>
      <c r="B43">
        <f t="shared" ref="B43:B49" si="22">C3</f>
        <v>6.32</v>
      </c>
      <c r="C43">
        <f t="shared" ref="C43:C49" si="23">C13</f>
        <v>4.3600000000000003</v>
      </c>
      <c r="D43">
        <f>C23</f>
        <v>7.1849999999999996</v>
      </c>
      <c r="E43">
        <f>C33</f>
        <v>11.242000000000001</v>
      </c>
      <c r="F43" s="5">
        <f>AVERAGE(B43:E43)</f>
        <v>7.2767499999999998</v>
      </c>
      <c r="G43" s="5">
        <f>STDEV(B43:E43)</f>
        <v>2.8956534524467314</v>
      </c>
      <c r="H43">
        <f>G43/SQRT(4)</f>
        <v>1.4478267262233657</v>
      </c>
      <c r="K43" s="4">
        <v>20</v>
      </c>
      <c r="L43" s="5">
        <f>K3</f>
        <v>2.032154340836013</v>
      </c>
      <c r="M43" s="6">
        <f>K13</f>
        <v>3.726495726495727</v>
      </c>
      <c r="N43" s="5">
        <f>K23</f>
        <v>0.82011185937678355</v>
      </c>
      <c r="O43" s="5">
        <f>K33</f>
        <v>1.2971039575400947</v>
      </c>
      <c r="P43" s="5">
        <f>AVERAGE(L43,N43:O43)</f>
        <v>1.3831233859176304</v>
      </c>
      <c r="Q43" s="5">
        <f>STDEV(L43,N43:O43)</f>
        <v>0.61058271410125953</v>
      </c>
      <c r="R43">
        <f>Q43/SQRT(3)</f>
        <v>0.35252009434889453</v>
      </c>
    </row>
    <row r="44" spans="1:18" x14ac:dyDescent="0.2">
      <c r="A44" s="4">
        <f>A43+4</f>
        <v>24</v>
      </c>
      <c r="B44" s="2">
        <f t="shared" si="22"/>
        <v>0.23</v>
      </c>
      <c r="C44">
        <f t="shared" si="23"/>
        <v>0.82</v>
      </c>
      <c r="D44">
        <f t="shared" ref="D44:D49" si="24">C24</f>
        <v>4.9820000000000002</v>
      </c>
      <c r="E44">
        <f t="shared" ref="E44:E49" si="25">C34</f>
        <v>10.058</v>
      </c>
      <c r="F44" s="5">
        <f>AVERAGE(C44:E44)</f>
        <v>5.2866666666666662</v>
      </c>
      <c r="G44" s="5">
        <f>STDEV(C44:E44)</f>
        <v>4.6265297290013541</v>
      </c>
      <c r="H44">
        <f>G44/SQRT(3)</f>
        <v>2.6711281844527384</v>
      </c>
      <c r="K44" s="4">
        <f>K43+4</f>
        <v>24</v>
      </c>
      <c r="L44" s="6">
        <f t="shared" ref="L44:L49" si="26">K4</f>
        <v>3.7704918032786888E-2</v>
      </c>
      <c r="M44" s="5">
        <f t="shared" ref="M44:M49" si="27">K14</f>
        <v>0.11248285322359396</v>
      </c>
      <c r="N44" s="5">
        <f t="shared" ref="N44:N49" si="28">K24</f>
        <v>0.87357531123969845</v>
      </c>
      <c r="O44" s="5">
        <f t="shared" ref="O44:O49" si="29">K34</f>
        <v>1.5618012422360248</v>
      </c>
      <c r="P44" s="5">
        <f>AVERAGE(M44:O44)</f>
        <v>0.84928646889977244</v>
      </c>
      <c r="Q44" s="5">
        <f>STDEV(M44:O44)</f>
        <v>0.7249644191814224</v>
      </c>
      <c r="R44">
        <f>Q44/SQRT(3)</f>
        <v>0.41855840256729493</v>
      </c>
    </row>
    <row r="45" spans="1:18" x14ac:dyDescent="0.2">
      <c r="A45" s="4">
        <f t="shared" ref="A45:A49" si="30">A44+4</f>
        <v>28</v>
      </c>
      <c r="B45" s="2">
        <f t="shared" si="22"/>
        <v>6.98</v>
      </c>
      <c r="C45">
        <f t="shared" si="23"/>
        <v>7.9</v>
      </c>
      <c r="D45">
        <f t="shared" si="24"/>
        <v>11.382999999999999</v>
      </c>
      <c r="E45">
        <f t="shared" si="25"/>
        <v>10.868</v>
      </c>
      <c r="F45" s="5">
        <f>AVERAGE(C45:E45)</f>
        <v>10.050333333333334</v>
      </c>
      <c r="G45" s="5">
        <f>STDEV(C45:E45)</f>
        <v>1.8799617903918353</v>
      </c>
      <c r="H45">
        <f>G45/SQRT(3)</f>
        <v>1.0853964457489369</v>
      </c>
      <c r="K45" s="4">
        <f t="shared" ref="K45:K49" si="31">K44+4</f>
        <v>28</v>
      </c>
      <c r="L45" s="5">
        <f t="shared" si="26"/>
        <v>0.81924882629107987</v>
      </c>
      <c r="M45" s="6">
        <f t="shared" si="27"/>
        <v>4.051282051282052</v>
      </c>
      <c r="N45" s="5">
        <f t="shared" si="28"/>
        <v>1.1885767985799309</v>
      </c>
      <c r="O45" s="5">
        <f t="shared" si="29"/>
        <v>2.3457802719620116</v>
      </c>
      <c r="P45" s="5">
        <f>AVERAGE(L45,N45:O45)</f>
        <v>1.4512019656110073</v>
      </c>
      <c r="Q45" s="5">
        <f>STDEV(L45,N45:O45)</f>
        <v>0.79643175942708488</v>
      </c>
      <c r="R45">
        <f>Q45/SQRT(3)</f>
        <v>0.45982009069639473</v>
      </c>
    </row>
    <row r="46" spans="1:18" x14ac:dyDescent="0.2">
      <c r="A46" s="4">
        <f t="shared" si="30"/>
        <v>32</v>
      </c>
      <c r="B46">
        <f t="shared" si="22"/>
        <v>15.55</v>
      </c>
      <c r="C46">
        <f t="shared" si="23"/>
        <v>17.72</v>
      </c>
      <c r="D46">
        <f t="shared" si="24"/>
        <v>13.384</v>
      </c>
      <c r="E46">
        <f t="shared" si="25"/>
        <v>13.234999999999999</v>
      </c>
      <c r="F46" s="5">
        <f t="shared" ref="F46:F49" si="32">AVERAGE(B46:E46)</f>
        <v>14.972249999999999</v>
      </c>
      <c r="G46" s="5">
        <f t="shared" ref="G46:G49" si="33">STDEV(B46:E46)</f>
        <v>2.1153802455665907</v>
      </c>
      <c r="H46">
        <f t="shared" ref="H46:H49" si="34">G46/SQRT(4)</f>
        <v>1.0576901227832953</v>
      </c>
      <c r="K46" s="4">
        <f t="shared" si="31"/>
        <v>32</v>
      </c>
      <c r="L46" s="5">
        <f t="shared" si="26"/>
        <v>0.94414086217364912</v>
      </c>
      <c r="M46" s="5">
        <f t="shared" si="27"/>
        <v>1.2128678986995209</v>
      </c>
      <c r="N46" s="5">
        <f t="shared" si="28"/>
        <v>0.98723906468982814</v>
      </c>
      <c r="O46" s="5">
        <f t="shared" si="29"/>
        <v>1.2689357622243529</v>
      </c>
      <c r="P46" s="5">
        <f t="shared" ref="P46:P49" si="35">AVERAGE(L46:O46)</f>
        <v>1.1032958969468378</v>
      </c>
      <c r="Q46" s="5">
        <f t="shared" ref="Q46:Q49" si="36">STDEV(L46:M46)</f>
        <v>0.19001870981560887</v>
      </c>
      <c r="R46">
        <f t="shared" ref="R46:R49" si="37">Q46/SQRT(4)</f>
        <v>9.5009354907804433E-2</v>
      </c>
    </row>
    <row r="47" spans="1:18" x14ac:dyDescent="0.2">
      <c r="A47" s="4">
        <f t="shared" si="30"/>
        <v>36</v>
      </c>
      <c r="B47">
        <f t="shared" si="22"/>
        <v>17.16</v>
      </c>
      <c r="C47">
        <f t="shared" si="23"/>
        <v>19.61</v>
      </c>
      <c r="D47">
        <f t="shared" si="24"/>
        <v>23.971</v>
      </c>
      <c r="E47">
        <f t="shared" si="25"/>
        <v>17.178999999999998</v>
      </c>
      <c r="F47" s="5">
        <f t="shared" si="32"/>
        <v>19.48</v>
      </c>
      <c r="G47" s="5">
        <f t="shared" si="33"/>
        <v>3.2074383340395842</v>
      </c>
      <c r="H47">
        <f t="shared" si="34"/>
        <v>1.6037191670197921</v>
      </c>
      <c r="K47" s="4">
        <f t="shared" si="31"/>
        <v>36</v>
      </c>
      <c r="L47" s="5">
        <f t="shared" si="26"/>
        <v>0.82898550724637687</v>
      </c>
      <c r="M47" s="5">
        <f t="shared" si="27"/>
        <v>0.86387665198237884</v>
      </c>
      <c r="N47" s="5">
        <f t="shared" si="28"/>
        <v>1.2320620888157896</v>
      </c>
      <c r="O47" s="5">
        <f t="shared" si="29"/>
        <v>1.0192832562003085</v>
      </c>
      <c r="P47" s="5">
        <f t="shared" si="35"/>
        <v>0.98605187606121358</v>
      </c>
      <c r="Q47" s="5">
        <f t="shared" si="36"/>
        <v>2.4671765046188301E-2</v>
      </c>
      <c r="R47">
        <f t="shared" si="37"/>
        <v>1.2335882523094151E-2</v>
      </c>
    </row>
    <row r="48" spans="1:18" x14ac:dyDescent="0.2">
      <c r="A48" s="4">
        <f t="shared" si="30"/>
        <v>40</v>
      </c>
      <c r="B48">
        <f t="shared" si="22"/>
        <v>23.8</v>
      </c>
      <c r="C48">
        <f t="shared" si="23"/>
        <v>25.21</v>
      </c>
      <c r="D48">
        <f t="shared" si="24"/>
        <v>21.437999999999999</v>
      </c>
      <c r="E48">
        <f t="shared" si="25"/>
        <v>18.334</v>
      </c>
      <c r="F48" s="5">
        <f t="shared" si="32"/>
        <v>22.195500000000003</v>
      </c>
      <c r="G48" s="5">
        <f t="shared" si="33"/>
        <v>3.0081344717282517</v>
      </c>
      <c r="H48">
        <f t="shared" si="34"/>
        <v>1.5040672358641258</v>
      </c>
      <c r="K48" s="4">
        <f t="shared" si="31"/>
        <v>40</v>
      </c>
      <c r="L48" s="5">
        <f t="shared" si="26"/>
        <v>1.1436809226333495</v>
      </c>
      <c r="M48" s="5">
        <f t="shared" si="27"/>
        <v>0.97335907335907346</v>
      </c>
      <c r="N48" s="5">
        <f t="shared" si="28"/>
        <v>1.1049376352953302</v>
      </c>
      <c r="O48" s="5">
        <f t="shared" si="29"/>
        <v>0.77195789473684207</v>
      </c>
      <c r="P48" s="5">
        <f t="shared" si="35"/>
        <v>0.99848388150614875</v>
      </c>
      <c r="Q48" s="5">
        <f t="shared" si="36"/>
        <v>0.12043573460607365</v>
      </c>
      <c r="R48">
        <f t="shared" si="37"/>
        <v>6.0217867303036826E-2</v>
      </c>
    </row>
    <row r="49" spans="1:18" x14ac:dyDescent="0.2">
      <c r="A49" s="4">
        <f t="shared" si="30"/>
        <v>44</v>
      </c>
      <c r="B49">
        <f t="shared" si="22"/>
        <v>29.97</v>
      </c>
      <c r="C49">
        <f t="shared" si="23"/>
        <v>24.38</v>
      </c>
      <c r="D49">
        <f t="shared" si="24"/>
        <v>17.657</v>
      </c>
      <c r="E49">
        <f t="shared" si="25"/>
        <v>19.084</v>
      </c>
      <c r="F49" s="5">
        <f t="shared" si="32"/>
        <v>22.772749999999998</v>
      </c>
      <c r="G49" s="5">
        <f t="shared" si="33"/>
        <v>5.6024231290279021</v>
      </c>
      <c r="H49">
        <f t="shared" si="34"/>
        <v>2.801211564513951</v>
      </c>
      <c r="K49" s="4">
        <f t="shared" si="31"/>
        <v>44</v>
      </c>
      <c r="L49" s="5">
        <f t="shared" si="26"/>
        <v>1.2338410868670235</v>
      </c>
      <c r="M49" s="5">
        <f t="shared" si="27"/>
        <v>0.92418498862774834</v>
      </c>
      <c r="N49" s="5">
        <f t="shared" si="28"/>
        <v>0.75002123863732895</v>
      </c>
      <c r="O49" s="5">
        <f t="shared" si="29"/>
        <v>0.65295788141102407</v>
      </c>
      <c r="P49" s="5">
        <f t="shared" si="35"/>
        <v>0.89025129888578114</v>
      </c>
      <c r="Q49" s="5">
        <f t="shared" si="36"/>
        <v>0.21895992690075997</v>
      </c>
      <c r="R49">
        <f t="shared" si="37"/>
        <v>0.10947996345037998</v>
      </c>
    </row>
    <row r="51" spans="1:18" x14ac:dyDescent="0.2">
      <c r="A51" s="4" t="s">
        <v>43</v>
      </c>
      <c r="B51" s="4"/>
      <c r="C51" s="4"/>
    </row>
    <row r="52" spans="1:18" x14ac:dyDescent="0.2">
      <c r="A52" s="4" t="s">
        <v>10</v>
      </c>
      <c r="B52" s="4" t="s">
        <v>30</v>
      </c>
      <c r="C52" s="4" t="s">
        <v>31</v>
      </c>
      <c r="D52" s="4" t="s">
        <v>39</v>
      </c>
      <c r="E52" s="4" t="s">
        <v>40</v>
      </c>
      <c r="F52" s="4" t="s">
        <v>21</v>
      </c>
      <c r="G52" s="4" t="s">
        <v>32</v>
      </c>
      <c r="H52" s="4" t="s">
        <v>41</v>
      </c>
    </row>
    <row r="53" spans="1:18" x14ac:dyDescent="0.2">
      <c r="A53" s="4">
        <v>20</v>
      </c>
      <c r="B53">
        <f>G3</f>
        <v>3.11</v>
      </c>
      <c r="C53" s="2">
        <f>G13</f>
        <v>1.17</v>
      </c>
      <c r="D53">
        <f>G23</f>
        <v>8.7609999999999992</v>
      </c>
      <c r="E53">
        <f>G33</f>
        <v>8.6669999999999998</v>
      </c>
      <c r="F53" s="5">
        <f>AVERAGE(B53,D53:E53)</f>
        <v>6.8459999999999992</v>
      </c>
      <c r="G53" s="5">
        <f>STDEV(B53,D53:E53)</f>
        <v>3.235812262786582</v>
      </c>
      <c r="H53">
        <f>G53/SQRT(3)</f>
        <v>1.8681970809669253</v>
      </c>
    </row>
    <row r="54" spans="1:18" x14ac:dyDescent="0.2">
      <c r="A54" s="4">
        <f>A53+4</f>
        <v>24</v>
      </c>
      <c r="B54">
        <f t="shared" ref="B54:B59" si="38">G4</f>
        <v>6.1</v>
      </c>
      <c r="C54">
        <f t="shared" ref="C54:C59" si="39">G14</f>
        <v>7.29</v>
      </c>
      <c r="D54">
        <f t="shared" ref="D54:D59" si="40">G24</f>
        <v>5.7030000000000003</v>
      </c>
      <c r="E54">
        <f t="shared" ref="E54:E59" si="41">G34</f>
        <v>6.44</v>
      </c>
      <c r="F54" s="5">
        <f>AVERAGE(B54:E54)</f>
        <v>6.3832500000000003</v>
      </c>
      <c r="G54" s="5">
        <f>STDEV(B54:E54)</f>
        <v>0.67537316845331263</v>
      </c>
      <c r="H54">
        <f>G54/SQRT(4)</f>
        <v>0.33768658422665632</v>
      </c>
    </row>
    <row r="55" spans="1:18" x14ac:dyDescent="0.2">
      <c r="A55" s="4">
        <f t="shared" ref="A55:A59" si="42">A54+4</f>
        <v>28</v>
      </c>
      <c r="B55">
        <f t="shared" si="38"/>
        <v>8.52</v>
      </c>
      <c r="C55" s="2">
        <f t="shared" si="39"/>
        <v>1.95</v>
      </c>
      <c r="D55">
        <f t="shared" si="40"/>
        <v>9.577</v>
      </c>
      <c r="E55">
        <f t="shared" si="41"/>
        <v>4.633</v>
      </c>
      <c r="F55" s="5">
        <f>AVERAGE(B55,D55:E55)</f>
        <v>7.5766666666666671</v>
      </c>
      <c r="G55" s="5">
        <f>STDEV(B55,D55:E55)</f>
        <v>2.6034961750179937</v>
      </c>
      <c r="H55">
        <f>G55/SQRT(3)</f>
        <v>1.5031292174807998</v>
      </c>
    </row>
    <row r="56" spans="1:18" x14ac:dyDescent="0.2">
      <c r="A56" s="4">
        <f t="shared" si="42"/>
        <v>32</v>
      </c>
      <c r="B56">
        <f t="shared" si="38"/>
        <v>16.47</v>
      </c>
      <c r="C56">
        <f t="shared" si="39"/>
        <v>14.61</v>
      </c>
      <c r="D56">
        <f t="shared" si="40"/>
        <v>13.557</v>
      </c>
      <c r="E56">
        <f t="shared" si="41"/>
        <v>10.43</v>
      </c>
      <c r="F56" s="5">
        <f t="shared" ref="F56:F59" si="43">AVERAGE(B56:E56)</f>
        <v>13.76675</v>
      </c>
      <c r="G56" s="5">
        <f t="shared" ref="G56:G59" si="44">STDEV(B56:E56)</f>
        <v>2.5295932973503845</v>
      </c>
      <c r="H56">
        <f t="shared" ref="H56:H59" si="45">G56/SQRT(4)</f>
        <v>1.2647966486751923</v>
      </c>
    </row>
    <row r="57" spans="1:18" x14ac:dyDescent="0.2">
      <c r="A57" s="4">
        <f t="shared" si="42"/>
        <v>36</v>
      </c>
      <c r="B57">
        <f t="shared" si="38"/>
        <v>20.7</v>
      </c>
      <c r="C57">
        <f t="shared" si="39"/>
        <v>22.7</v>
      </c>
      <c r="D57">
        <f t="shared" si="40"/>
        <v>19.456</v>
      </c>
      <c r="E57">
        <f t="shared" si="41"/>
        <v>16.853999999999999</v>
      </c>
      <c r="F57" s="5">
        <f t="shared" si="43"/>
        <v>19.927499999999998</v>
      </c>
      <c r="G57" s="5">
        <f t="shared" si="44"/>
        <v>2.4462370422072226</v>
      </c>
      <c r="H57">
        <f t="shared" si="45"/>
        <v>1.2231185211036113</v>
      </c>
    </row>
    <row r="58" spans="1:18" x14ac:dyDescent="0.2">
      <c r="A58" s="4">
        <f t="shared" si="42"/>
        <v>40</v>
      </c>
      <c r="B58">
        <f t="shared" si="38"/>
        <v>20.81</v>
      </c>
      <c r="C58">
        <f t="shared" si="39"/>
        <v>25.9</v>
      </c>
      <c r="D58">
        <f t="shared" si="40"/>
        <v>19.402000000000001</v>
      </c>
      <c r="E58">
        <f t="shared" si="41"/>
        <v>23.75</v>
      </c>
      <c r="F58" s="5">
        <f t="shared" si="43"/>
        <v>22.465499999999999</v>
      </c>
      <c r="G58" s="5">
        <f t="shared" si="44"/>
        <v>2.9195572152868361</v>
      </c>
      <c r="H58">
        <f t="shared" si="45"/>
        <v>1.459778607643418</v>
      </c>
    </row>
    <row r="59" spans="1:18" x14ac:dyDescent="0.2">
      <c r="A59" s="4">
        <f t="shared" si="42"/>
        <v>44</v>
      </c>
      <c r="B59">
        <f t="shared" si="38"/>
        <v>24.29</v>
      </c>
      <c r="C59">
        <f t="shared" si="39"/>
        <v>26.38</v>
      </c>
      <c r="D59">
        <f t="shared" si="40"/>
        <v>23.542000000000002</v>
      </c>
      <c r="E59">
        <f t="shared" si="41"/>
        <v>29.227</v>
      </c>
      <c r="F59" s="5">
        <f t="shared" si="43"/>
        <v>25.859750000000002</v>
      </c>
      <c r="G59" s="5">
        <f t="shared" si="44"/>
        <v>2.5459191365791645</v>
      </c>
      <c r="H59">
        <f t="shared" si="45"/>
        <v>1.2729595682895822</v>
      </c>
    </row>
  </sheetData>
  <phoneticPr fontId="5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363BB3-F0CD-4EB7-B87E-9E3E6DD0E14D}">
  <dimension ref="A1:T18"/>
  <sheetViews>
    <sheetView workbookViewId="0">
      <selection activeCell="T2" sqref="T2:T8"/>
    </sheetView>
  </sheetViews>
  <sheetFormatPr baseColWidth="10" defaultColWidth="8.83203125" defaultRowHeight="15" x14ac:dyDescent="0.2"/>
  <sheetData>
    <row r="1" spans="1:20" x14ac:dyDescent="0.2">
      <c r="A1" t="s">
        <v>23</v>
      </c>
      <c r="B1" t="s">
        <v>20</v>
      </c>
      <c r="C1" t="s">
        <v>24</v>
      </c>
      <c r="D1" t="s">
        <v>22</v>
      </c>
      <c r="G1" t="s">
        <v>23</v>
      </c>
      <c r="H1" t="s">
        <v>20</v>
      </c>
      <c r="I1" t="s">
        <v>25</v>
      </c>
      <c r="J1" t="s">
        <v>22</v>
      </c>
      <c r="L1" t="s">
        <v>23</v>
      </c>
      <c r="M1" t="s">
        <v>20</v>
      </c>
      <c r="N1" t="s">
        <v>50</v>
      </c>
      <c r="O1" t="s">
        <v>22</v>
      </c>
      <c r="Q1" t="s">
        <v>23</v>
      </c>
      <c r="R1" t="s">
        <v>20</v>
      </c>
      <c r="S1" t="s">
        <v>51</v>
      </c>
      <c r="T1" t="s">
        <v>22</v>
      </c>
    </row>
    <row r="2" spans="1:20" x14ac:dyDescent="0.2">
      <c r="A2">
        <v>20</v>
      </c>
      <c r="B2" s="3">
        <v>0.32</v>
      </c>
      <c r="C2">
        <f>'PM I'!C3</f>
        <v>11.242000000000001</v>
      </c>
      <c r="D2">
        <f>C2/B2</f>
        <v>35.131250000000001</v>
      </c>
      <c r="G2">
        <v>20</v>
      </c>
      <c r="H2" s="3">
        <v>0.32</v>
      </c>
      <c r="I2">
        <f>'PM I'!C13</f>
        <v>9.5440000000000005</v>
      </c>
      <c r="J2">
        <f>I2/H2</f>
        <v>29.824999999999999</v>
      </c>
      <c r="L2">
        <v>20</v>
      </c>
      <c r="M2" s="3">
        <v>0.32</v>
      </c>
      <c r="N2">
        <f>'PM I'!C23</f>
        <v>10.576000000000001</v>
      </c>
      <c r="O2">
        <f>N2/M2</f>
        <v>33.050000000000004</v>
      </c>
      <c r="Q2">
        <v>20</v>
      </c>
      <c r="R2" s="3">
        <v>0.32</v>
      </c>
      <c r="S2">
        <f>'PM I'!C33</f>
        <v>7.5960000000000001</v>
      </c>
      <c r="T2">
        <f>S2/R2</f>
        <v>23.737500000000001</v>
      </c>
    </row>
    <row r="3" spans="1:20" x14ac:dyDescent="0.2">
      <c r="A3">
        <f>A2+4</f>
        <v>24</v>
      </c>
      <c r="B3" s="3">
        <v>0.374</v>
      </c>
      <c r="C3">
        <f>'PM I'!C4</f>
        <v>5.8440000000000003</v>
      </c>
      <c r="D3">
        <f t="shared" ref="D3:D8" si="0">C3/B3</f>
        <v>15.625668449197862</v>
      </c>
      <c r="G3">
        <f>G2+4</f>
        <v>24</v>
      </c>
      <c r="H3" s="3">
        <v>0.374</v>
      </c>
      <c r="I3">
        <f>'PM I'!C14</f>
        <v>3.415</v>
      </c>
      <c r="J3">
        <f t="shared" ref="J3:J8" si="1">I3/H3</f>
        <v>9.1310160427807485</v>
      </c>
      <c r="L3">
        <f>L2+4</f>
        <v>24</v>
      </c>
      <c r="M3" s="3">
        <v>0.374</v>
      </c>
      <c r="N3">
        <f>'PM I'!C24</f>
        <v>10.006</v>
      </c>
      <c r="O3">
        <f t="shared" ref="O3:O8" si="2">N3/M3</f>
        <v>26.754010695187166</v>
      </c>
      <c r="Q3">
        <f>Q2+4</f>
        <v>24</v>
      </c>
      <c r="R3" s="3">
        <v>0.374</v>
      </c>
      <c r="S3">
        <f>'PM I'!C34</f>
        <v>7.54</v>
      </c>
      <c r="T3">
        <f t="shared" ref="T3:T8" si="3">S3/R3</f>
        <v>20.160427807486631</v>
      </c>
    </row>
    <row r="4" spans="1:20" x14ac:dyDescent="0.2">
      <c r="A4">
        <f t="shared" ref="A4:A8" si="4">A3+4</f>
        <v>28</v>
      </c>
      <c r="B4" s="3">
        <v>0.93859999999999999</v>
      </c>
      <c r="C4">
        <f>'PM I'!C5</f>
        <v>12.439</v>
      </c>
      <c r="D4">
        <f t="shared" si="0"/>
        <v>13.252716812273599</v>
      </c>
      <c r="G4">
        <f t="shared" ref="G4:G8" si="5">G3+4</f>
        <v>28</v>
      </c>
      <c r="H4" s="3">
        <v>0.93859999999999999</v>
      </c>
      <c r="I4">
        <f>'PM I'!C15</f>
        <v>8.9429999999999996</v>
      </c>
      <c r="J4">
        <f t="shared" si="1"/>
        <v>9.5280204559982948</v>
      </c>
      <c r="L4">
        <f t="shared" ref="L4:L8" si="6">L3+4</f>
        <v>28</v>
      </c>
      <c r="M4" s="3">
        <v>0.93859999999999999</v>
      </c>
      <c r="N4">
        <f>'PM I'!C25</f>
        <v>11.772</v>
      </c>
      <c r="O4">
        <f t="shared" si="2"/>
        <v>12.542083954826337</v>
      </c>
      <c r="Q4">
        <f t="shared" ref="Q4:Q8" si="7">Q3+4</f>
        <v>28</v>
      </c>
      <c r="R4" s="3">
        <v>0.93859999999999999</v>
      </c>
      <c r="S4">
        <f>'PM I'!C35</f>
        <v>11.471</v>
      </c>
      <c r="T4">
        <f t="shared" si="3"/>
        <v>12.22139356488387</v>
      </c>
    </row>
    <row r="5" spans="1:20" x14ac:dyDescent="0.2">
      <c r="A5">
        <f t="shared" si="4"/>
        <v>32</v>
      </c>
      <c r="B5" s="3">
        <v>1.6779999999999999</v>
      </c>
      <c r="C5">
        <f>'PM I'!C6</f>
        <v>15.032999999999999</v>
      </c>
      <c r="D5">
        <f t="shared" si="0"/>
        <v>8.9588796185935635</v>
      </c>
      <c r="G5">
        <f t="shared" si="5"/>
        <v>32</v>
      </c>
      <c r="H5" s="3">
        <v>1.6779999999999999</v>
      </c>
      <c r="I5">
        <f>'PM I'!C16</f>
        <v>18.227</v>
      </c>
      <c r="J5">
        <f t="shared" si="1"/>
        <v>10.862336114421931</v>
      </c>
      <c r="L5">
        <f t="shared" si="6"/>
        <v>32</v>
      </c>
      <c r="M5" s="3">
        <v>1.6779999999999999</v>
      </c>
      <c r="N5">
        <f>'PM I'!C26</f>
        <v>16.344999999999999</v>
      </c>
      <c r="O5">
        <f t="shared" si="2"/>
        <v>9.7407628128724664</v>
      </c>
      <c r="Q5">
        <f t="shared" si="7"/>
        <v>32</v>
      </c>
      <c r="R5" s="3">
        <v>1.6779999999999999</v>
      </c>
      <c r="S5">
        <f>'PM I'!C36</f>
        <v>15.218999999999999</v>
      </c>
      <c r="T5">
        <f t="shared" si="3"/>
        <v>9.0697258641239564</v>
      </c>
    </row>
    <row r="6" spans="1:20" x14ac:dyDescent="0.2">
      <c r="A6">
        <f t="shared" si="4"/>
        <v>36</v>
      </c>
      <c r="B6" s="3">
        <v>2.75</v>
      </c>
      <c r="C6">
        <f>'PM I'!C7</f>
        <v>16.113</v>
      </c>
      <c r="D6">
        <f t="shared" si="0"/>
        <v>5.8592727272727272</v>
      </c>
      <c r="G6">
        <f t="shared" si="5"/>
        <v>36</v>
      </c>
      <c r="H6" s="3">
        <v>2.75</v>
      </c>
      <c r="I6">
        <f>'PM I'!C17</f>
        <v>18.288</v>
      </c>
      <c r="J6">
        <f t="shared" si="1"/>
        <v>6.6501818181818182</v>
      </c>
      <c r="L6">
        <f t="shared" si="6"/>
        <v>36</v>
      </c>
      <c r="M6" s="3">
        <v>2.75</v>
      </c>
      <c r="N6">
        <f>'PM I'!C27</f>
        <v>19.439</v>
      </c>
      <c r="O6">
        <f t="shared" si="2"/>
        <v>7.0687272727272727</v>
      </c>
      <c r="Q6">
        <f t="shared" si="7"/>
        <v>36</v>
      </c>
      <c r="R6" s="3">
        <v>2.75</v>
      </c>
      <c r="S6">
        <f>'PM I'!C37</f>
        <v>15.051</v>
      </c>
      <c r="T6">
        <f t="shared" si="3"/>
        <v>5.4730909090909092</v>
      </c>
    </row>
    <row r="7" spans="1:20" x14ac:dyDescent="0.2">
      <c r="A7">
        <f t="shared" si="4"/>
        <v>40</v>
      </c>
      <c r="B7" s="3">
        <v>2.8119999999999998</v>
      </c>
      <c r="C7">
        <f>'PM I'!C8</f>
        <v>19.209</v>
      </c>
      <c r="D7">
        <f t="shared" si="0"/>
        <v>6.8310810810810816</v>
      </c>
      <c r="G7">
        <f t="shared" si="5"/>
        <v>40</v>
      </c>
      <c r="H7" s="3">
        <v>2.8119999999999998</v>
      </c>
      <c r="I7">
        <f>'PM I'!C18</f>
        <v>19.536999999999999</v>
      </c>
      <c r="J7">
        <f t="shared" si="1"/>
        <v>6.9477240398293034</v>
      </c>
      <c r="L7">
        <f t="shared" si="6"/>
        <v>40</v>
      </c>
      <c r="M7" s="3">
        <v>2.8119999999999998</v>
      </c>
      <c r="N7">
        <f>'PM I'!C28</f>
        <v>17.581</v>
      </c>
      <c r="O7">
        <f t="shared" si="2"/>
        <v>6.2521337126600285</v>
      </c>
      <c r="Q7">
        <f t="shared" si="7"/>
        <v>40</v>
      </c>
      <c r="R7" s="3">
        <v>2.8119999999999998</v>
      </c>
      <c r="S7">
        <f>'PM I'!C38</f>
        <v>22.18</v>
      </c>
      <c r="T7">
        <f t="shared" si="3"/>
        <v>7.8876244665718351</v>
      </c>
    </row>
    <row r="8" spans="1:20" x14ac:dyDescent="0.2">
      <c r="A8">
        <f t="shared" si="4"/>
        <v>44</v>
      </c>
      <c r="B8" s="3">
        <v>1.1970000000000001</v>
      </c>
      <c r="C8">
        <f>'PM I'!C9</f>
        <v>20.12</v>
      </c>
      <c r="D8">
        <f t="shared" si="0"/>
        <v>16.808688387635755</v>
      </c>
      <c r="G8">
        <f t="shared" si="5"/>
        <v>44</v>
      </c>
      <c r="H8" s="3">
        <v>1.1970000000000001</v>
      </c>
      <c r="I8">
        <f>'PM I'!C19</f>
        <v>22.045999999999999</v>
      </c>
      <c r="J8">
        <f t="shared" si="1"/>
        <v>18.417710944026734</v>
      </c>
      <c r="L8">
        <f t="shared" si="6"/>
        <v>44</v>
      </c>
      <c r="M8" s="3">
        <v>1.1970000000000001</v>
      </c>
      <c r="N8">
        <f>'PM I'!C29</f>
        <v>14.281000000000001</v>
      </c>
      <c r="O8">
        <f t="shared" si="2"/>
        <v>11.930659983291562</v>
      </c>
      <c r="Q8">
        <f t="shared" si="7"/>
        <v>44</v>
      </c>
      <c r="R8" s="3">
        <v>1.1970000000000001</v>
      </c>
      <c r="S8">
        <f>'PM I'!C39</f>
        <v>20.945</v>
      </c>
      <c r="T8">
        <f t="shared" si="3"/>
        <v>17.497911445279865</v>
      </c>
    </row>
    <row r="9" spans="1:20" x14ac:dyDescent="0.2">
      <c r="B9" s="3"/>
    </row>
    <row r="11" spans="1:20" x14ac:dyDescent="0.2">
      <c r="A11" t="s">
        <v>23</v>
      </c>
      <c r="B11" t="s">
        <v>20</v>
      </c>
      <c r="C11" t="s">
        <v>26</v>
      </c>
      <c r="D11" t="s">
        <v>22</v>
      </c>
      <c r="G11" t="s">
        <v>23</v>
      </c>
      <c r="H11" t="s">
        <v>20</v>
      </c>
      <c r="I11" t="s">
        <v>27</v>
      </c>
      <c r="J11" t="s">
        <v>22</v>
      </c>
      <c r="L11" t="s">
        <v>23</v>
      </c>
      <c r="M11" t="s">
        <v>20</v>
      </c>
      <c r="N11" t="s">
        <v>52</v>
      </c>
      <c r="O11" t="s">
        <v>22</v>
      </c>
      <c r="Q11" t="s">
        <v>23</v>
      </c>
      <c r="R11" t="s">
        <v>20</v>
      </c>
      <c r="S11" t="s">
        <v>53</v>
      </c>
      <c r="T11" t="s">
        <v>22</v>
      </c>
    </row>
    <row r="12" spans="1:20" x14ac:dyDescent="0.2">
      <c r="A12">
        <v>20</v>
      </c>
      <c r="B12" s="3">
        <v>0.32</v>
      </c>
      <c r="C12">
        <f>'PM IV'!C3</f>
        <v>6.32</v>
      </c>
      <c r="D12">
        <f>C12/B12</f>
        <v>19.75</v>
      </c>
      <c r="G12">
        <v>20</v>
      </c>
      <c r="H12" s="3">
        <v>0.32</v>
      </c>
      <c r="I12">
        <f>'PM IV'!C13</f>
        <v>4.3600000000000003</v>
      </c>
      <c r="J12">
        <f>I12/H12</f>
        <v>13.625</v>
      </c>
      <c r="L12">
        <v>20</v>
      </c>
      <c r="M12" s="3">
        <v>0.32</v>
      </c>
      <c r="N12">
        <f>'PM IV'!C23</f>
        <v>7.1849999999999996</v>
      </c>
      <c r="O12">
        <f>N12/M12</f>
        <v>22.453125</v>
      </c>
      <c r="Q12">
        <v>20</v>
      </c>
      <c r="R12" s="3">
        <v>0.32</v>
      </c>
      <c r="S12">
        <f>'PM IV'!C33</f>
        <v>11.242000000000001</v>
      </c>
      <c r="T12">
        <f>S12/R12</f>
        <v>35.131250000000001</v>
      </c>
    </row>
    <row r="13" spans="1:20" x14ac:dyDescent="0.2">
      <c r="A13">
        <f>A12+4</f>
        <v>24</v>
      </c>
      <c r="B13" s="3">
        <v>0.374</v>
      </c>
      <c r="C13">
        <f>'PM IV'!C4</f>
        <v>0.23</v>
      </c>
      <c r="D13">
        <f t="shared" ref="D13:D18" si="8">C13/B13</f>
        <v>0.61497326203208558</v>
      </c>
      <c r="G13">
        <f>G12+4</f>
        <v>24</v>
      </c>
      <c r="H13" s="3">
        <v>0.374</v>
      </c>
      <c r="I13">
        <f>'PM IV'!C14</f>
        <v>0.82</v>
      </c>
      <c r="J13">
        <f t="shared" ref="J13:J18" si="9">I13/H13</f>
        <v>2.1925133689839571</v>
      </c>
      <c r="L13">
        <f>L12+4</f>
        <v>24</v>
      </c>
      <c r="M13" s="3">
        <v>0.374</v>
      </c>
      <c r="N13">
        <f>'PM IV'!C24</f>
        <v>4.9820000000000002</v>
      </c>
      <c r="O13">
        <f t="shared" ref="O13:O18" si="10">N13/M13</f>
        <v>13.320855614973263</v>
      </c>
      <c r="Q13">
        <f>Q12+4</f>
        <v>24</v>
      </c>
      <c r="R13" s="3">
        <v>0.374</v>
      </c>
      <c r="S13">
        <f>'PM IV'!C34</f>
        <v>10.058</v>
      </c>
      <c r="T13">
        <f t="shared" ref="T13:T18" si="11">S13/R13</f>
        <v>26.893048128342247</v>
      </c>
    </row>
    <row r="14" spans="1:20" x14ac:dyDescent="0.2">
      <c r="A14">
        <f t="shared" ref="A14:A18" si="12">A13+4</f>
        <v>28</v>
      </c>
      <c r="B14" s="3">
        <v>0.93859999999999999</v>
      </c>
      <c r="C14">
        <f>'PM IV'!C5</f>
        <v>6.98</v>
      </c>
      <c r="D14">
        <f t="shared" si="8"/>
        <v>7.4366077136160245</v>
      </c>
      <c r="G14">
        <f t="shared" ref="G14:G18" si="13">G13+4</f>
        <v>28</v>
      </c>
      <c r="H14" s="3">
        <v>0.93859999999999999</v>
      </c>
      <c r="I14">
        <f>'PM IV'!C15</f>
        <v>7.9</v>
      </c>
      <c r="J14">
        <f t="shared" si="9"/>
        <v>8.4167909652674204</v>
      </c>
      <c r="L14">
        <f t="shared" ref="L14:L18" si="14">L13+4</f>
        <v>28</v>
      </c>
      <c r="M14" s="3">
        <v>0.93859999999999999</v>
      </c>
      <c r="N14">
        <f>'PM IV'!C25</f>
        <v>11.382999999999999</v>
      </c>
      <c r="O14">
        <f t="shared" si="10"/>
        <v>12.127636906030258</v>
      </c>
      <c r="Q14">
        <f t="shared" ref="Q14:Q18" si="15">Q13+4</f>
        <v>28</v>
      </c>
      <c r="R14" s="3">
        <v>0.93859999999999999</v>
      </c>
      <c r="S14">
        <f>'PM IV'!C35</f>
        <v>10.868</v>
      </c>
      <c r="T14">
        <f t="shared" si="11"/>
        <v>11.578947368421053</v>
      </c>
    </row>
    <row r="15" spans="1:20" x14ac:dyDescent="0.2">
      <c r="A15">
        <f t="shared" si="12"/>
        <v>32</v>
      </c>
      <c r="B15" s="3">
        <v>1.6779999999999999</v>
      </c>
      <c r="C15">
        <f>'PM IV'!C6</f>
        <v>15.55</v>
      </c>
      <c r="D15">
        <f t="shared" si="8"/>
        <v>9.2669845053635296</v>
      </c>
      <c r="G15">
        <f t="shared" si="13"/>
        <v>32</v>
      </c>
      <c r="H15" s="3">
        <v>1.6779999999999999</v>
      </c>
      <c r="I15">
        <f>'PM IV'!C16</f>
        <v>17.72</v>
      </c>
      <c r="J15">
        <f t="shared" si="9"/>
        <v>10.560190703218117</v>
      </c>
      <c r="L15">
        <f t="shared" si="14"/>
        <v>32</v>
      </c>
      <c r="M15" s="3">
        <v>1.6779999999999999</v>
      </c>
      <c r="N15">
        <f>'PM IV'!C26</f>
        <v>13.384</v>
      </c>
      <c r="O15">
        <f t="shared" si="10"/>
        <v>7.9761620977353997</v>
      </c>
      <c r="Q15">
        <f t="shared" si="15"/>
        <v>32</v>
      </c>
      <c r="R15" s="3">
        <v>1.6779999999999999</v>
      </c>
      <c r="S15">
        <f>'PM IV'!C36</f>
        <v>13.234999999999999</v>
      </c>
      <c r="T15">
        <f t="shared" si="11"/>
        <v>7.8873659117997619</v>
      </c>
    </row>
    <row r="16" spans="1:20" x14ac:dyDescent="0.2">
      <c r="A16">
        <f t="shared" si="12"/>
        <v>36</v>
      </c>
      <c r="B16" s="3">
        <v>2.75</v>
      </c>
      <c r="C16">
        <f>'PM IV'!C7</f>
        <v>17.16</v>
      </c>
      <c r="D16">
        <f t="shared" si="8"/>
        <v>6.24</v>
      </c>
      <c r="G16">
        <f t="shared" si="13"/>
        <v>36</v>
      </c>
      <c r="H16" s="3">
        <v>2.75</v>
      </c>
      <c r="I16">
        <f>'PM IV'!C17</f>
        <v>19.61</v>
      </c>
      <c r="J16">
        <f t="shared" si="9"/>
        <v>7.1309090909090909</v>
      </c>
      <c r="L16">
        <f t="shared" si="14"/>
        <v>36</v>
      </c>
      <c r="M16" s="3">
        <v>2.75</v>
      </c>
      <c r="N16">
        <f>'PM IV'!C27</f>
        <v>23.971</v>
      </c>
      <c r="O16">
        <f t="shared" si="10"/>
        <v>8.7167272727272724</v>
      </c>
      <c r="Q16">
        <f t="shared" si="15"/>
        <v>36</v>
      </c>
      <c r="R16" s="3">
        <v>2.75</v>
      </c>
      <c r="S16">
        <f>'PM IV'!C37</f>
        <v>17.178999999999998</v>
      </c>
      <c r="T16">
        <f t="shared" si="11"/>
        <v>6.2469090909090905</v>
      </c>
    </row>
    <row r="17" spans="1:20" x14ac:dyDescent="0.2">
      <c r="A17">
        <f t="shared" si="12"/>
        <v>40</v>
      </c>
      <c r="B17" s="3">
        <v>2.8119999999999998</v>
      </c>
      <c r="C17">
        <f>'PM IV'!C8</f>
        <v>23.8</v>
      </c>
      <c r="D17">
        <f t="shared" si="8"/>
        <v>8.4637268847795166</v>
      </c>
      <c r="G17">
        <f t="shared" si="13"/>
        <v>40</v>
      </c>
      <c r="H17" s="3">
        <v>2.8119999999999998</v>
      </c>
      <c r="I17">
        <f>'PM IV'!C18</f>
        <v>25.21</v>
      </c>
      <c r="J17">
        <f t="shared" si="9"/>
        <v>8.9651493598862029</v>
      </c>
      <c r="L17">
        <f t="shared" si="14"/>
        <v>40</v>
      </c>
      <c r="M17" s="3">
        <v>2.8119999999999998</v>
      </c>
      <c r="N17">
        <f>'PM IV'!C28</f>
        <v>21.437999999999999</v>
      </c>
      <c r="O17">
        <f t="shared" si="10"/>
        <v>7.6237553342816504</v>
      </c>
      <c r="Q17">
        <f t="shared" si="15"/>
        <v>40</v>
      </c>
      <c r="R17" s="3">
        <v>2.8119999999999998</v>
      </c>
      <c r="S17">
        <f>'PM IV'!C38</f>
        <v>18.334</v>
      </c>
      <c r="T17">
        <f t="shared" si="11"/>
        <v>6.5199146514935995</v>
      </c>
    </row>
    <row r="18" spans="1:20" x14ac:dyDescent="0.2">
      <c r="A18">
        <f t="shared" si="12"/>
        <v>44</v>
      </c>
      <c r="B18" s="3">
        <v>1.1970000000000001</v>
      </c>
      <c r="C18">
        <f>'PM IV'!C9</f>
        <v>29.97</v>
      </c>
      <c r="D18">
        <f t="shared" si="8"/>
        <v>25.037593984962403</v>
      </c>
      <c r="G18">
        <f t="shared" si="13"/>
        <v>44</v>
      </c>
      <c r="H18" s="3">
        <v>1.1970000000000001</v>
      </c>
      <c r="I18">
        <f>'PM IV'!C19</f>
        <v>24.38</v>
      </c>
      <c r="J18">
        <f t="shared" si="9"/>
        <v>20.367585630743523</v>
      </c>
      <c r="L18">
        <f t="shared" si="14"/>
        <v>44</v>
      </c>
      <c r="M18" s="3">
        <v>1.1970000000000001</v>
      </c>
      <c r="N18">
        <f>'PM IV'!C29</f>
        <v>17.657</v>
      </c>
      <c r="O18">
        <f t="shared" si="10"/>
        <v>14.751044277360066</v>
      </c>
      <c r="Q18">
        <f t="shared" si="15"/>
        <v>44</v>
      </c>
      <c r="R18" s="3">
        <v>1.1970000000000001</v>
      </c>
      <c r="S18">
        <f>'PM IV'!C39</f>
        <v>19.084</v>
      </c>
      <c r="T18">
        <f t="shared" si="11"/>
        <v>15.943191311612363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PM I</vt:lpstr>
      <vt:lpstr>PM IV</vt:lpstr>
      <vt:lpstr>Volume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Larnelle Garnie</dc:creator>
  <cp:lastModifiedBy>Garnie, Larnelle</cp:lastModifiedBy>
  <dcterms:created xsi:type="dcterms:W3CDTF">2023-09-01T11:41:15Z</dcterms:created>
  <dcterms:modified xsi:type="dcterms:W3CDTF">2025-04-16T02:58:59Z</dcterms:modified>
</cp:coreProperties>
</file>